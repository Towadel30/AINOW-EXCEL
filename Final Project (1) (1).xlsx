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PC\Downloads\"/>
    </mc:Choice>
  </mc:AlternateContent>
  <xr:revisionPtr revIDLastSave="0" documentId="13_ncr:1_{280C7DA2-FC5D-4F2E-8C9D-4A37A521478D}" xr6:coauthVersionLast="47" xr6:coauthVersionMax="47" xr10:uidLastSave="{00000000-0000-0000-0000-000000000000}"/>
  <bookViews>
    <workbookView xWindow="-110" yWindow="-110" windowWidth="19420" windowHeight="10420" activeTab="4" xr2:uid="{00000000-000D-0000-FFFF-FFFF00000000}"/>
  </bookViews>
  <sheets>
    <sheet name="Cover" sheetId="3" r:id="rId1"/>
    <sheet name="Raw Data (2)" sheetId="4" r:id="rId2"/>
    <sheet name="SalesData" sheetId="1" r:id="rId3"/>
    <sheet name="Pivot Table" sheetId="8" r:id="rId4"/>
    <sheet name="Dashboard" sheetId="10" r:id="rId5"/>
  </sheets>
  <externalReferences>
    <externalReference r:id="rId6"/>
  </externalReferences>
  <definedNames>
    <definedName name="_xlnm._FilterDatabase" localSheetId="1" hidden="1">'Raw Data (2)'!$A$1:$H$101</definedName>
    <definedName name="_xlnm.Print_Area" localSheetId="4">Dashboard!$L$9</definedName>
    <definedName name="Slicer_Months__Date">#N/A</definedName>
    <definedName name="Slicer_Product">#N/A</definedName>
    <definedName name="Slicer_Region">#N/A</definedName>
    <definedName name="Slicer_Revenu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alcChain>
</file>

<file path=xl/sharedStrings.xml><?xml version="1.0" encoding="utf-8"?>
<sst xmlns="http://schemas.openxmlformats.org/spreadsheetml/2006/main" count="1172" uniqueCount="510">
  <si>
    <t>Date</t>
  </si>
  <si>
    <t>Region</t>
  </si>
  <si>
    <t>Product</t>
  </si>
  <si>
    <t>Category</t>
  </si>
  <si>
    <t>Units Sold</t>
  </si>
  <si>
    <t>Unit Price</t>
  </si>
  <si>
    <t>Sales Rep</t>
  </si>
  <si>
    <t>Customer</t>
  </si>
  <si>
    <t>South</t>
  </si>
  <si>
    <t>LAPTOP  A15</t>
  </si>
  <si>
    <t xml:space="preserve">computers  </t>
  </si>
  <si>
    <t xml:space="preserve">  Peter Obi   </t>
  </si>
  <si>
    <t>bright solutions</t>
  </si>
  <si>
    <t xml:space="preserve"> EAST</t>
  </si>
  <si>
    <t>tv  43q</t>
  </si>
  <si>
    <t>ELECTRONICS</t>
  </si>
  <si>
    <t xml:space="preserve">Ifeanyi Okafor  </t>
  </si>
  <si>
    <t>Musa Enterprises</t>
  </si>
  <si>
    <t xml:space="preserve">North	</t>
  </si>
  <si>
    <t>PHONE X12</t>
  </si>
  <si>
    <t>Mobile</t>
  </si>
  <si>
    <t>fola balogun</t>
  </si>
  <si>
    <t xml:space="preserve"> ZAINAB GLOBAL  </t>
  </si>
  <si>
    <t>17-MAY-2025</t>
  </si>
  <si>
    <t xml:space="preserve">South </t>
  </si>
  <si>
    <t xml:space="preserve"> MONITOR M2 4</t>
  </si>
  <si>
    <t xml:space="preserve">  PERIPHERALS </t>
  </si>
  <si>
    <t>IFEANYI OKAFOR</t>
  </si>
  <si>
    <t xml:space="preserve"> Jid eSuperstores </t>
  </si>
  <si>
    <t xml:space="preserve">28-jan-2025   </t>
  </si>
  <si>
    <t>WEST</t>
  </si>
  <si>
    <t xml:space="preserve">  Phone X12 </t>
  </si>
  <si>
    <t xml:space="preserve"> Mobile</t>
  </si>
  <si>
    <t>petero bi</t>
  </si>
  <si>
    <t>chkia  mart</t>
  </si>
  <si>
    <t xml:space="preserve">  26-May-2025 </t>
  </si>
  <si>
    <t>east,</t>
  </si>
  <si>
    <t>mobile</t>
  </si>
  <si>
    <t>IFEANYI  OKAFOR</t>
  </si>
  <si>
    <t>Musa  Enterprises</t>
  </si>
  <si>
    <t xml:space="preserve"> 06-MAY-2025 </t>
  </si>
  <si>
    <t xml:space="preserve"> WEST </t>
  </si>
  <si>
    <t xml:space="preserve">  tv 43q </t>
  </si>
  <si>
    <t xml:space="preserve"> Electronics</t>
  </si>
  <si>
    <t>AISHA  BELLO</t>
  </si>
  <si>
    <t>Chika  Mart</t>
  </si>
  <si>
    <t>10-Feb-2025</t>
  </si>
  <si>
    <t xml:space="preserve">west  </t>
  </si>
  <si>
    <t xml:space="preserve"> monitor m24  </t>
  </si>
  <si>
    <t>peripherals</t>
  </si>
  <si>
    <t>peter obi</t>
  </si>
  <si>
    <t xml:space="preserve">MUSA ENTERPIRSES </t>
  </si>
  <si>
    <t xml:space="preserve"> 01-FEB-2025 </t>
  </si>
  <si>
    <t xml:space="preserve"> East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</si>
  <si>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</si>
  <si>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</si>
  <si>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</si>
  <si>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</si>
  <si>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</si>
  <si>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</si>
  <si>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</si>
  <si>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</si>
  <si>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</si>
  <si>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</si>
  <si>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</si>
  <si>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south</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</si>
  <si>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</si>
  <si>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</si>
  <si>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</si>
  <si>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</si>
  <si>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</si>
  <si>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</si>
  <si>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</si>
  <si>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</si>
  <si>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</si>
  <si>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</si>
  <si>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</si>
  <si>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</si>
  <si>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</si>
  <si>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</si>
  <si>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</si>
  <si>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</si>
  <si>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eats</t>
  </si>
  <si>
    <t xml:space="preserve"> tv 43q</t>
  </si>
  <si>
    <t>Chinedu  Nwosu</t>
  </si>
  <si>
    <t>EMEKA  TRADERS</t>
  </si>
  <si>
    <t xml:space="preserve">15-Apr-2025  </t>
  </si>
  <si>
    <t xml:space="preserve">SOUTH </t>
  </si>
  <si>
    <t xml:space="preserve"> Speaker S10 </t>
  </si>
  <si>
    <t xml:space="preserve"> Audio .</t>
  </si>
  <si>
    <t xml:space="preserve">ifeanyi okafor  </t>
  </si>
  <si>
    <t>BRIGHT SOLUTIONS</t>
  </si>
  <si>
    <t>12-Jun-2025</t>
  </si>
  <si>
    <t xml:space="preserve">East  </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</si>
  <si>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</si>
  <si>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</si>
  <si>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</si>
  <si>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</si>
  <si>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</si>
  <si>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</si>
  <si>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</si>
  <si>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</si>
  <si>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</si>
  <si>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</si>
  <si>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 xml:space="preserve">  West</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</si>
  <si>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</si>
  <si>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</si>
  <si>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</si>
  <si>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</si>
  <si>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</si>
  <si>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</si>
  <si>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</si>
  <si>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</si>
  <si>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</si>
  <si>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 xml:space="preserve"> North</t>
  </si>
  <si>
    <t>Camera  C100</t>
  </si>
  <si>
    <t>Chinedu Nwosu</t>
  </si>
  <si>
    <t>06-Apr-2025 .</t>
  </si>
  <si>
    <t xml:space="preserve"> EAST </t>
  </si>
  <si>
    <t>Laptop A15</t>
  </si>
  <si>
    <t>Computers</t>
  </si>
  <si>
    <t xml:space="preserve">GRACE AMOS </t>
  </si>
  <si>
    <t>24-FEB-2025</t>
  </si>
  <si>
    <t xml:space="preserve"> camera c100   </t>
  </si>
  <si>
    <t xml:space="preserve">  Photography </t>
  </si>
  <si>
    <t>PETER  OBI</t>
  </si>
  <si>
    <t xml:space="preserve">Emeka Traders </t>
  </si>
  <si>
    <t xml:space="preserve">  24-mar-2025</t>
  </si>
  <si>
    <t>EAST</t>
  </si>
  <si>
    <t xml:space="preserve">Tablet T8 </t>
  </si>
  <si>
    <t xml:space="preserve">  mobile.</t>
  </si>
  <si>
    <t>Maryam Ltd</t>
  </si>
  <si>
    <t xml:space="preserve">  28-May-2025 </t>
  </si>
  <si>
    <t>north</t>
  </si>
  <si>
    <t xml:space="preserve"> Tablet T8 </t>
  </si>
  <si>
    <t xml:space="preserve">mobile   </t>
  </si>
  <si>
    <t xml:space="preserve"> ifeanyi okafor </t>
  </si>
  <si>
    <t>omega  wholesale</t>
  </si>
  <si>
    <t xml:space="preserve">  12-MAY-2025</t>
  </si>
  <si>
    <t xml:space="preserve">  West </t>
  </si>
  <si>
    <t>Laptop A15.</t>
  </si>
  <si>
    <t xml:space="preserve"> Computers </t>
  </si>
  <si>
    <t xml:space="preserve"> Grace Amos </t>
  </si>
  <si>
    <t xml:space="preserve">femi tech </t>
  </si>
  <si>
    <t xml:space="preserve">  11-MAY-2025 </t>
  </si>
  <si>
    <t xml:space="preserve"> East</t>
  </si>
  <si>
    <t xml:space="preserve">Camera C010 </t>
  </si>
  <si>
    <t>photography</t>
  </si>
  <si>
    <t xml:space="preserve">chinedu nwosu </t>
  </si>
  <si>
    <t xml:space="preserve"> 16-JAN-2025 </t>
  </si>
  <si>
    <t>North.</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</si>
  <si>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</si>
  <si>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</si>
  <si>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</si>
  <si>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</si>
  <si>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</si>
  <si>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</si>
  <si>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</si>
  <si>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</si>
  <si>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</si>
  <si>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  South </t>
  </si>
  <si>
    <t xml:space="preserve">TV  43Q </t>
  </si>
  <si>
    <t>elecrtonics</t>
  </si>
  <si>
    <t xml:space="preserve"> zainab global	</t>
  </si>
  <si>
    <t xml:space="preserve">06-feb-2025 </t>
  </si>
  <si>
    <t>Electronics</t>
  </si>
  <si>
    <t xml:space="preserve">peter  obi </t>
  </si>
  <si>
    <t xml:space="preserve"> Femi Tech </t>
  </si>
  <si>
    <t>17-JUN-2025</t>
  </si>
  <si>
    <t>west</t>
  </si>
  <si>
    <t xml:space="preserve">Electronics   </t>
  </si>
  <si>
    <t>Tope &amp; Sons .</t>
  </si>
  <si>
    <t xml:space="preserve">  09-Jan-2025 </t>
  </si>
  <si>
    <t>TABLET T8</t>
  </si>
  <si>
    <t>mobile.</t>
  </si>
  <si>
    <t>alpha retailers</t>
  </si>
  <si>
    <t xml:space="preserve">29-Jun-2025 </t>
  </si>
  <si>
    <t xml:space="preserve">North  </t>
  </si>
  <si>
    <t xml:space="preserve"> PHOTOGRAPHY</t>
  </si>
  <si>
    <t>Peter Obi</t>
  </si>
  <si>
    <t>Alpha  Retailers</t>
  </si>
  <si>
    <t xml:space="preserve">1-9mar-2025 </t>
  </si>
  <si>
    <t xml:space="preserve">mobile </t>
  </si>
  <si>
    <t xml:space="preserve"> Peter Obi </t>
  </si>
  <si>
    <t>Femi  Tech</t>
  </si>
  <si>
    <t>06-Feb-2025</t>
  </si>
  <si>
    <t xml:space="preserve"> laptop a15 	</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</si>
  <si>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</si>
  <si>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</si>
  <si>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</si>
  <si>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</si>
  <si>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</si>
  <si>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</si>
  <si>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</si>
  <si>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</si>
  <si>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</si>
  <si>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</si>
  <si>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</si>
  <si>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</si>
  <si>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 xml:space="preserve"> east </t>
  </si>
  <si>
    <t>CAMERA C100</t>
  </si>
  <si>
    <t>PHOTOGRAPHY</t>
  </si>
  <si>
    <t xml:space="preserve"> GRACE AMOS</t>
  </si>
  <si>
    <t xml:space="preserve">  07-May-2025</t>
  </si>
  <si>
    <t xml:space="preserve">  North</t>
  </si>
  <si>
    <t xml:space="preserve"> PHONE X12 </t>
  </si>
  <si>
    <t>Mobile.</t>
  </si>
  <si>
    <t xml:space="preserve">  MARY JOHN </t>
  </si>
  <si>
    <t>Chkia  Mart</t>
  </si>
  <si>
    <t xml:space="preserve"> 30-Jun-2025 </t>
  </si>
  <si>
    <t>unknown</t>
  </si>
  <si>
    <t xml:space="preserve"> Musa Enterprises </t>
  </si>
  <si>
    <t xml:space="preserve">NORTH  </t>
  </si>
  <si>
    <t xml:space="preserve"> mary john 	</t>
  </si>
  <si>
    <t>TOPE &amp; SONS</t>
  </si>
  <si>
    <t>13-Jan-2025</t>
  </si>
  <si>
    <t>SOUTH</t>
  </si>
  <si>
    <t xml:space="preserve">  PHONE X12 </t>
  </si>
  <si>
    <t xml:space="preserve">15-JUN-2025  </t>
  </si>
  <si>
    <t xml:space="preserve">south </t>
  </si>
  <si>
    <t>LAPTOP A15</t>
  </si>
  <si>
    <t xml:space="preserve"> Mary John</t>
  </si>
  <si>
    <t xml:space="preserve">Chika  Mart </t>
  </si>
  <si>
    <t>28-Feb-2025</t>
  </si>
  <si>
    <t xml:space="preserve">  east</t>
  </si>
  <si>
    <t xml:space="preserve">SPEAKER  S10 </t>
  </si>
  <si>
    <t>Audio</t>
  </si>
  <si>
    <t xml:space="preserve">ifeanyi okafor </t>
  </si>
  <si>
    <t>19-FEB-2025</t>
  </si>
  <si>
    <t xml:space="preserve">west	</t>
  </si>
  <si>
    <t xml:space="preserve">Mary John </t>
  </si>
  <si>
    <t xml:space="preserve">KELVIN TECH </t>
  </si>
  <si>
    <t>03-mar-2025</t>
  </si>
  <si>
    <t xml:space="preserve">  East</t>
  </si>
  <si>
    <t xml:space="preserve">Tablet  T8 </t>
  </si>
  <si>
    <t xml:space="preserve"> mobile,</t>
  </si>
  <si>
    <t>Fola  Balogun</t>
  </si>
  <si>
    <t xml:space="preserve">  ALPHA RETAILERS 	</t>
  </si>
  <si>
    <t>01-APR-2025</t>
  </si>
  <si>
    <t xml:space="preserve"> west </t>
  </si>
  <si>
    <t>MARY JOHN</t>
  </si>
  <si>
    <t xml:space="preserve">  Chika Mart </t>
  </si>
  <si>
    <t xml:space="preserve">07-APR-2025 </t>
  </si>
  <si>
    <t xml:space="preserve">South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</si>
  <si>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</si>
  <si>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</si>
  <si>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</si>
  <si>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</si>
  <si>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</si>
  <si>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</si>
  <si>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</si>
  <si>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</si>
  <si>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</si>
  <si>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</si>
  <si>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</si>
  <si>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</si>
  <si>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 xml:space="preserve"> West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</si>
  <si>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</si>
  <si>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</si>
  <si>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</si>
  <si>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</si>
  <si>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</si>
  <si>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</si>
  <si>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</si>
  <si>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</si>
  <si>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</si>
  <si>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WEST</t>
  </si>
  <si>
    <t xml:space="preserve">  aisha bello ,</t>
  </si>
  <si>
    <t xml:space="preserve">  Kelvin Tech </t>
  </si>
  <si>
    <t xml:space="preserve">27-Jan-2025 </t>
  </si>
  <si>
    <t xml:space="preserve"> FEMI TECH</t>
  </si>
  <si>
    <t>04-jna-2025</t>
  </si>
  <si>
    <t xml:space="preserve"> West</t>
  </si>
  <si>
    <t xml:space="preserve">tv  43q </t>
  </si>
  <si>
    <t>IFEANYI OKAFOR .</t>
  </si>
  <si>
    <t>JIDE SUPERSTORES ,</t>
  </si>
  <si>
    <t xml:space="preserve">  08-mar-2025</t>
  </si>
  <si>
    <t xml:space="preserve">north  </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</si>
  <si>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</si>
  <si>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</si>
  <si>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</si>
  <si>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</si>
  <si>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</si>
  <si>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</si>
  <si>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</si>
  <si>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</si>
  <si>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</si>
  <si>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 EAST	</t>
  </si>
  <si>
    <t xml:space="preserve">audio </t>
  </si>
  <si>
    <t>Kelvin  Tech</t>
  </si>
  <si>
    <t>05F-eb-2025</t>
  </si>
  <si>
    <t>Sout	h</t>
  </si>
  <si>
    <t>laptop  a15</t>
  </si>
  <si>
    <t xml:space="preserve">COMPUTERS   </t>
  </si>
  <si>
    <t xml:space="preserve"> aisha bello</t>
  </si>
  <si>
    <t>zainab global</t>
  </si>
  <si>
    <t>east</t>
  </si>
  <si>
    <t xml:space="preserve"> 06-jan-2025  </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</si>
  <si>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</si>
  <si>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</si>
  <si>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</si>
  <si>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</si>
  <si>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</si>
  <si>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</si>
  <si>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</si>
  <si>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</si>
  <si>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</si>
  <si>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</si>
  <si>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14-Jan-2025 </t>
  </si>
  <si>
    <t xml:space="preserve"> EAST,</t>
  </si>
  <si>
    <t xml:space="preserve">  Laptop A15</t>
  </si>
  <si>
    <t xml:space="preserve">Computers  </t>
  </si>
  <si>
    <t xml:space="preserve">  chinedu nwosu </t>
  </si>
  <si>
    <t>CHIKA MART</t>
  </si>
  <si>
    <t xml:space="preserve">02-MAY-2025	</t>
  </si>
  <si>
    <t>WES	T</t>
  </si>
  <si>
    <t>Aisha Bello ,</t>
  </si>
  <si>
    <t xml:space="preserve">17-Jun-2205  </t>
  </si>
  <si>
    <t xml:space="preserve">SPEAKER S10	</t>
  </si>
  <si>
    <t>Fola Balogun</t>
  </si>
  <si>
    <t xml:space="preserve">  emeka traders</t>
  </si>
  <si>
    <t xml:space="preserve"> 13-Jan-2025 </t>
  </si>
  <si>
    <t>West.</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</si>
  <si>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</si>
  <si>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</si>
  <si>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</si>
  <si>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</si>
  <si>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</si>
  <si>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</si>
  <si>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</si>
  <si>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</si>
  <si>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</si>
  <si>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</si>
  <si>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</si>
  <si>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</si>
  <si>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</si>
  <si>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</si>
  <si>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</si>
  <si>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</si>
  <si>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</si>
  <si>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</si>
  <si>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</si>
  <si>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</si>
  <si>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</si>
  <si>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</si>
  <si>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</si>
  <si>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</si>
  <si>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</si>
  <si>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</si>
  <si>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</si>
  <si>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</si>
  <si>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</si>
  <si>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</si>
  <si>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</si>
  <si>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</si>
  <si>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</si>
  <si>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</si>
  <si>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</si>
  <si>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</si>
  <si>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</si>
  <si>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</si>
  <si>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EAST  </t>
  </si>
  <si>
    <t xml:space="preserve">audio  </t>
  </si>
  <si>
    <t>GRACE AMOS</t>
  </si>
  <si>
    <t xml:space="preserve">Adewale  Stores  </t>
  </si>
  <si>
    <t>12-jan-2025</t>
  </si>
  <si>
    <t xml:space="preserve"> NORTH</t>
  </si>
  <si>
    <t>tv 43q</t>
  </si>
  <si>
    <t xml:space="preserve">  Electronics </t>
  </si>
  <si>
    <t xml:space="preserve">  emeka tarders</t>
  </si>
  <si>
    <t xml:space="preserve"> 23-Jan-2025 </t>
  </si>
  <si>
    <t>Norht</t>
  </si>
  <si>
    <t xml:space="preserve">  tv 43q</t>
  </si>
  <si>
    <t xml:space="preserve">  fola balogun</t>
  </si>
  <si>
    <t>Emeka Tradesr</t>
  </si>
  <si>
    <t xml:space="preserve">  05-May-2025 </t>
  </si>
  <si>
    <t xml:space="preserve">Tv 43Q  </t>
  </si>
  <si>
    <t xml:space="preserve"> ELECTRONICS </t>
  </si>
  <si>
    <t>ifeanyi  okafor</t>
  </si>
  <si>
    <t>19-May-2025</t>
  </si>
  <si>
    <t xml:space="preserve"> SOUTH </t>
  </si>
  <si>
    <t>SPEAKER S10</t>
  </si>
  <si>
    <t xml:space="preserve">  Audio </t>
  </si>
  <si>
    <t xml:space="preserve">aisha bello   </t>
  </si>
  <si>
    <t xml:space="preserve"> 04A-pr-2025</t>
  </si>
  <si>
    <t xml:space="preserve">  EAST</t>
  </si>
  <si>
    <t>TABLET  T8</t>
  </si>
  <si>
    <t>Mobile .</t>
  </si>
  <si>
    <t xml:space="preserve"> FOLA BALOGUN  </t>
  </si>
  <si>
    <t xml:space="preserve"> Musa Enterprises</t>
  </si>
  <si>
    <t xml:space="preserve"> 26-feb-2025</t>
  </si>
  <si>
    <t xml:space="preserve"> South</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</si>
  <si>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</si>
  <si>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</si>
  <si>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</si>
  <si>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</si>
  <si>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</si>
  <si>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</si>
  <si>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</si>
  <si>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</si>
  <si>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</si>
  <si>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</si>
  <si>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</si>
  <si>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</si>
  <si>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</si>
  <si>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 North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</si>
  <si>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</si>
  <si>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</si>
  <si>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</si>
  <si>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</si>
  <si>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</si>
  <si>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</si>
  <si>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</si>
  <si>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</si>
  <si>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</si>
  <si>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 xml:space="preserve"> Laptop A15</t>
  </si>
  <si>
    <t>Omega  Wholesale</t>
  </si>
  <si>
    <t>09-aMr-2025</t>
  </si>
  <si>
    <t xml:space="preserve">Laptop  A15 	</t>
  </si>
  <si>
    <t xml:space="preserve">  Computers </t>
  </si>
  <si>
    <t xml:space="preserve">IFEANYI O KAFOR 	</t>
  </si>
  <si>
    <t>femi  tech ,</t>
  </si>
  <si>
    <t>20-FEB-2052</t>
  </si>
  <si>
    <t xml:space="preserve">  west</t>
  </si>
  <si>
    <t xml:space="preserve">Speaker  S10 </t>
  </si>
  <si>
    <t>AUDIO</t>
  </si>
  <si>
    <t xml:space="preserve"> fola balogun,</t>
  </si>
  <si>
    <t>FEMI  TECH</t>
  </si>
  <si>
    <t>19-Feb-2025</t>
  </si>
  <si>
    <t>EAST ,</t>
  </si>
  <si>
    <t xml:space="preserve">Laptop A15  </t>
  </si>
  <si>
    <t xml:space="preserve"> COMPUTRES</t>
  </si>
  <si>
    <t>Mary  John</t>
  </si>
  <si>
    <t xml:space="preserve">TOEP &amp; SONS </t>
  </si>
  <si>
    <t xml:space="preserve">10-Apr-2025 </t>
  </si>
  <si>
    <t xml:space="preserve">East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</si>
  <si>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</si>
  <si>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</si>
  <si>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</si>
  <si>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</si>
  <si>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</si>
  <si>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</si>
  <si>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</si>
  <si>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</si>
  <si>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</si>
  <si>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</si>
  <si>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</si>
  <si>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</si>
  <si>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 xml:space="preserve">  South</t>
  </si>
  <si>
    <t>audio .</t>
  </si>
  <si>
    <t xml:space="preserve">  Peter Obi</t>
  </si>
  <si>
    <t xml:space="preserve"> TOLA VENTURES </t>
  </si>
  <si>
    <t xml:space="preserve">  27-Ju-n2025</t>
  </si>
  <si>
    <t xml:space="preserve">north	</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</si>
  <si>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</si>
  <si>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</si>
  <si>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</si>
  <si>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</si>
  <si>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</si>
  <si>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</si>
  <si>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</si>
  <si>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</si>
  <si>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</si>
  <si>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 WEST</t>
  </si>
  <si>
    <t xml:space="preserve">TABLET T8 </t>
  </si>
  <si>
    <t xml:space="preserve"> Mobile  </t>
  </si>
  <si>
    <t xml:space="preserve">grace amos	</t>
  </si>
  <si>
    <t>ALPHA RETAILERS</t>
  </si>
  <si>
    <t>Capstone project</t>
  </si>
  <si>
    <t>Praise Odunayo</t>
  </si>
  <si>
    <t>Aba Joel</t>
  </si>
  <si>
    <t>Job Austin</t>
  </si>
  <si>
    <t>Grand Total</t>
  </si>
  <si>
    <t>Tv 43Q</t>
  </si>
  <si>
    <t>Phone X12</t>
  </si>
  <si>
    <t>Monitor M24</t>
  </si>
  <si>
    <t>Camera C100</t>
  </si>
  <si>
    <t>Speaker S10</t>
  </si>
  <si>
    <t>Jan</t>
  </si>
  <si>
    <t>Feb</t>
  </si>
  <si>
    <t>Mar</t>
  </si>
  <si>
    <t>Apr</t>
  </si>
  <si>
    <t>May</t>
  </si>
  <si>
    <t>Jun</t>
  </si>
  <si>
    <t>Peripherals</t>
  </si>
  <si>
    <t>Sum of Unit Price</t>
  </si>
  <si>
    <t>Bright Solutions</t>
  </si>
  <si>
    <t>Zainab Global</t>
  </si>
  <si>
    <t>Kelvin Tech</t>
  </si>
  <si>
    <t>Emeka Traders</t>
  </si>
  <si>
    <t>Tola Ventures</t>
  </si>
  <si>
    <t>Jide Superstores</t>
  </si>
  <si>
    <t>Tope &amp; Sons</t>
  </si>
  <si>
    <t>Adewale Stores</t>
  </si>
  <si>
    <t>Ifeanyi Okafor</t>
  </si>
  <si>
    <t>Grace Amos</t>
  </si>
  <si>
    <t>Units Category</t>
  </si>
  <si>
    <t>Revenue</t>
  </si>
  <si>
    <t>Sum of Revenue</t>
  </si>
  <si>
    <t>Revenue by Month</t>
  </si>
  <si>
    <t>Month</t>
  </si>
  <si>
    <t>Top 5 Sales Rep</t>
  </si>
  <si>
    <t>Region by Revenue</t>
  </si>
  <si>
    <t>Units Sold most</t>
  </si>
  <si>
    <t>Average Units</t>
  </si>
  <si>
    <t>High Units</t>
  </si>
  <si>
    <t>Low Units</t>
  </si>
  <si>
    <t>Sum of Units Sold</t>
  </si>
  <si>
    <t>Products sold by Region</t>
  </si>
  <si>
    <t>Most Product sold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</si>
</sst>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8"/>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15" fontId="0" fillId="0" borderId="3" xfId="0" applyNumberFormat="1" applyBorder="1"/>
    <xf numFmtId="0" fontId="0" fillId="0" borderId="4" xfId="0"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0" fontId="0" fillId="0" borderId="9" xfId="0" applyBorder="1"/>
    <xf numFmtId="0" fontId="0" fillId="0" borderId="10" xfId="0" applyBorder="1"/>
    <xf numFmtId="0" fontId="0" fillId="0" borderId="7" xfId="0" applyBorder="1"/>
    <xf numFmtId="15" fontId="0" fillId="0" borderId="8" xfId="0" applyNumberFormat="1" applyBorder="1"/>
    <xf numFmtId="0" fontId="0" fillId="0" borderId="0" xfId="0" pivotButton="1"/>
    <xf numFmtId="0" fontId="0" fillId="0" borderId="0" xfId="0" applyAlignment="1">
      <alignment horizontal="left"/>
    </xf>
    <xf numFmtId="43" fontId="0" fillId="0" borderId="1" xfId="0" applyNumberFormat="1" applyBorder="1"/>
    <xf numFmtId="43" fontId="0" fillId="0" borderId="0" xfId="0" applyNumberFormat="1"/>
  </cellXfs>
  <cellStyles count="1">
    <cellStyle name="Normal" xfId="0" builtinId="0"/>
  </cellStyles>
  <dxfs count="14">
    <dxf>
      <numFmt numFmtId="35" formatCode="_(* #,##0.00_);_(* \(#,##0.00\);_(* &quot;-&quot;??_);_(@_)"/>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20" formatCode="dd\-mmm\-yy"/>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(1) (1).xlsx]Pivot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7596386109107E-2"/>
          <c:y val="0.211517891946675"/>
          <c:w val="0.91794871794871791"/>
          <c:h val="0.6669156479749424"/>
        </c:manualLayout>
      </c:layout>
      <c:lineChart>
        <c:grouping val="standard"/>
        <c:varyColors val="0"/>
        <c:ser>
          <c:idx val="0"/>
          <c:order val="0"/>
          <c:tx>
            <c:strRef>
              <c:f>'Pivot Table'!$B$3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Table'!$A$4:$A$10</c:f>
              <c:strCache>
                <c:ptCount val="6"/>
                <c:pt idx="0">
                  <c:v>Jan</c:v>
                </c:pt>
                <c:pt idx="1">
                  <c:v>Feb</c:v>
                </c:pt>
                <c:pt idx="2">
                  <c:v>Mar</c:v>
                </c:pt>
                <c:pt idx="3">
                  <c:v>Apr</c:v>
                </c:pt>
                <c:pt idx="4">
                  <c:v>May</c:v>
                </c:pt>
                <c:pt idx="5">
                  <c:v>Jun</c:v>
                </c:pt>
              </c:strCache>
            </c:strRef>
          </c:cat>
          <c:val>
            <c:numRef>
              <c:f>'Pivot Table'!$B$4:$B$10</c:f>
              <c:numCache>
                <c:formatCode>_(* #,##0.00_);_(* \(#,##0.00\);_(* "-"??_);_(@_)</c:formatCode>
                <c:ptCount val="6"/>
                <c:pt idx="0">
                  <c:v>57295000</c:v>
                </c:pt>
                <c:pt idx="1">
                  <c:v>50735000</c:v>
                </c:pt>
                <c:pt idx="2">
                  <c:v>13545000</c:v>
                </c:pt>
                <c:pt idx="3">
                  <c:v>29620000</c:v>
                </c:pt>
                <c:pt idx="4">
                  <c:v>32285000</c:v>
                </c:pt>
                <c:pt idx="5">
                  <c:v>34095000</c:v>
                </c:pt>
              </c:numCache>
            </c:numRef>
          </c:val>
          <c:smooth val="0"/>
          <c:extLst>
            <c:ext xmlns:c16="http://schemas.microsoft.com/office/drawing/2014/chart" uri="{C3380CC4-5D6E-409C-BE32-E72D297353CC}">
              <c16:uniqueId val="{00000000-61B5-4F94-AE32-6A5035CD9CEE}"/>
            </c:ext>
          </c:extLst>
        </c:ser>
        <c:dLbls>
          <c:dLblPos val="ctr"/>
          <c:showLegendKey val="0"/>
          <c:showVal val="1"/>
          <c:showCatName val="0"/>
          <c:showSerName val="0"/>
          <c:showPercent val="0"/>
          <c:showBubbleSize val="0"/>
        </c:dLbls>
        <c:marker val="1"/>
        <c:smooth val="0"/>
        <c:axId val="14727999"/>
        <c:axId val="14722719"/>
      </c:lineChart>
      <c:catAx>
        <c:axId val="14727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22719"/>
        <c:crosses val="autoZero"/>
        <c:auto val="1"/>
        <c:lblAlgn val="ctr"/>
        <c:lblOffset val="100"/>
        <c:noMultiLvlLbl val="0"/>
      </c:catAx>
      <c:valAx>
        <c:axId val="147227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crossAx val="1472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(1) (1).xlsx]Pivot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CA-45DC-80BA-E38B251EE6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CA-45DC-80BA-E38B251EE6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CA-45DC-80BA-E38B251EE6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CA-45DC-80BA-E38B251EE6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Table'!$A$25:$A$29</c:f>
              <c:strCache>
                <c:ptCount val="4"/>
                <c:pt idx="0">
                  <c:v>East</c:v>
                </c:pt>
                <c:pt idx="1">
                  <c:v>North	</c:v>
                </c:pt>
                <c:pt idx="2">
                  <c:v>South</c:v>
                </c:pt>
                <c:pt idx="3">
                  <c:v>West</c:v>
                </c:pt>
              </c:strCache>
            </c:strRef>
          </c:cat>
          <c:val>
            <c:numRef>
              <c:f>'Pivot Table'!$B$25:$B$29</c:f>
              <c:numCache>
                <c:formatCode>_(* #,##0.00_);_(* \(#,##0.00\);_(* "-"??_);_(@_)</c:formatCode>
                <c:ptCount val="4"/>
                <c:pt idx="0">
                  <c:v>75120000</c:v>
                </c:pt>
                <c:pt idx="1">
                  <c:v>39490000</c:v>
                </c:pt>
                <c:pt idx="2">
                  <c:v>57110000</c:v>
                </c:pt>
                <c:pt idx="3">
                  <c:v>45855000</c:v>
                </c:pt>
              </c:numCache>
            </c:numRef>
          </c:val>
          <c:extLst>
            <c:ext xmlns:c16="http://schemas.microsoft.com/office/drawing/2014/chart" uri="{C3380CC4-5D6E-409C-BE32-E72D297353CC}">
              <c16:uniqueId val="{00000008-6ACA-45DC-80BA-E38B251EE64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(1) (1).xlsx]Pivot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Table'!$A$35:$A$38</c:f>
              <c:strCache>
                <c:ptCount val="3"/>
                <c:pt idx="0">
                  <c:v>Average Units</c:v>
                </c:pt>
                <c:pt idx="1">
                  <c:v>High Units</c:v>
                </c:pt>
                <c:pt idx="2">
                  <c:v>Low Units</c:v>
                </c:pt>
              </c:strCache>
            </c:strRef>
          </c:cat>
          <c:val>
            <c:numRef>
              <c:f>'Pivot Table'!$B$35:$B$38</c:f>
              <c:numCache>
                <c:formatCode>General</c:formatCode>
                <c:ptCount val="3"/>
                <c:pt idx="0">
                  <c:v>293</c:v>
                </c:pt>
                <c:pt idx="1">
                  <c:v>595</c:v>
                </c:pt>
                <c:pt idx="2">
                  <c:v>253</c:v>
                </c:pt>
              </c:numCache>
            </c:numRef>
          </c:val>
          <c:extLst>
            <c:ext xmlns:c16="http://schemas.microsoft.com/office/drawing/2014/chart" uri="{C3380CC4-5D6E-409C-BE32-E72D297353CC}">
              <c16:uniqueId val="{00000000-7811-4C27-9711-B839A3CDEF44}"/>
            </c:ext>
          </c:extLst>
        </c:ser>
        <c:dLbls>
          <c:showLegendKey val="0"/>
          <c:showVal val="0"/>
          <c:showCatName val="0"/>
          <c:showSerName val="0"/>
          <c:showPercent val="0"/>
          <c:showBubbleSize val="0"/>
        </c:dLbls>
        <c:gapWidth val="219"/>
        <c:overlap val="-27"/>
        <c:axId val="320520239"/>
        <c:axId val="320535119"/>
      </c:barChart>
      <c:catAx>
        <c:axId val="3205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35119"/>
        <c:crosses val="autoZero"/>
        <c:auto val="1"/>
        <c:lblAlgn val="ctr"/>
        <c:lblOffset val="100"/>
        <c:noMultiLvlLbl val="0"/>
      </c:catAx>
      <c:valAx>
        <c:axId val="3205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2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(1) (1).xlsx]Pivot Table!PivotTable9</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Product</a:t>
            </a:r>
            <a:r>
              <a:rPr lang="en-US" baseline="0">
                <a:solidFill>
                  <a:sysClr val="windowText" lastClr="000000"/>
                </a:solidFill>
              </a:rPr>
              <a:t> by Region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Table'!$A$44:$A$51</c:f>
              <c:strCache>
                <c:ptCount val="7"/>
                <c:pt idx="0">
                  <c:v>Camera C100</c:v>
                </c:pt>
                <c:pt idx="1">
                  <c:v>Laptop A15</c:v>
                </c:pt>
                <c:pt idx="2">
                  <c:v>Monitor M24</c:v>
                </c:pt>
                <c:pt idx="3">
                  <c:v>Phone X12</c:v>
                </c:pt>
                <c:pt idx="4">
                  <c:v>Speaker S10</c:v>
                </c:pt>
                <c:pt idx="5">
                  <c:v>Tablet T8</c:v>
                </c:pt>
                <c:pt idx="6">
                  <c:v>Tv 43Q</c:v>
                </c:pt>
              </c:strCache>
            </c:strRef>
          </c:cat>
          <c:val>
            <c:numRef>
              <c:f>'Pivot Table'!$B$44:$B$51</c:f>
              <c:numCache>
                <c:formatCode>General</c:formatCode>
                <c:ptCount val="7"/>
                <c:pt idx="0">
                  <c:v>2275000</c:v>
                </c:pt>
                <c:pt idx="1">
                  <c:v>3500000</c:v>
                </c:pt>
                <c:pt idx="2">
                  <c:v>910000</c:v>
                </c:pt>
                <c:pt idx="3">
                  <c:v>1440000</c:v>
                </c:pt>
                <c:pt idx="4">
                  <c:v>1020000</c:v>
                </c:pt>
                <c:pt idx="5">
                  <c:v>3300000</c:v>
                </c:pt>
                <c:pt idx="6">
                  <c:v>5950000</c:v>
                </c:pt>
              </c:numCache>
            </c:numRef>
          </c:val>
          <c:extLst>
            <c:ext xmlns:c16="http://schemas.microsoft.com/office/drawing/2014/chart" uri="{C3380CC4-5D6E-409C-BE32-E72D297353CC}">
              <c16:uniqueId val="{00000000-2CEF-4E36-BE29-B435B83B9BC9}"/>
            </c:ext>
          </c:extLst>
        </c:ser>
        <c:dLbls>
          <c:dLblPos val="outEnd"/>
          <c:showLegendKey val="0"/>
          <c:showVal val="1"/>
          <c:showCatName val="0"/>
          <c:showSerName val="0"/>
          <c:showPercent val="0"/>
          <c:showBubbleSize val="0"/>
        </c:dLbls>
        <c:gapWidth val="182"/>
        <c:axId val="294292815"/>
        <c:axId val="294285615"/>
      </c:barChart>
      <c:catAx>
        <c:axId val="29429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4285615"/>
        <c:crosses val="autoZero"/>
        <c:auto val="1"/>
        <c:lblAlgn val="ctr"/>
        <c:lblOffset val="100"/>
        <c:noMultiLvlLbl val="0"/>
      </c:catAx>
      <c:valAx>
        <c:axId val="294285615"/>
        <c:scaling>
          <c:orientation val="minMax"/>
        </c:scaling>
        <c:delete val="1"/>
        <c:axPos val="b"/>
        <c:numFmt formatCode="General" sourceLinked="1"/>
        <c:majorTickMark val="out"/>
        <c:minorTickMark val="none"/>
        <c:tickLblPos val="nextTo"/>
        <c:crossAx val="29429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(1) (1).xlsx]Pivot Table!PivotTable6</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Sales Rep</a:t>
            </a:r>
          </a:p>
        </c:rich>
      </c:tx>
      <c:layout>
        <c:manualLayout>
          <c:xMode val="edge"/>
          <c:yMode val="edge"/>
          <c:x val="0.43416666666666665"/>
          <c:y val="2.77777777777777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Table'!$A$14:$A$19</c:f>
              <c:strCache>
                <c:ptCount val="5"/>
                <c:pt idx="0">
                  <c:v>Chinedu Nwosu</c:v>
                </c:pt>
                <c:pt idx="1">
                  <c:v>Fola Balogun</c:v>
                </c:pt>
                <c:pt idx="2">
                  <c:v>Grace Amos</c:v>
                </c:pt>
                <c:pt idx="3">
                  <c:v>Ifeanyi Okafor</c:v>
                </c:pt>
                <c:pt idx="4">
                  <c:v>Peter Obi</c:v>
                </c:pt>
              </c:strCache>
            </c:strRef>
          </c:cat>
          <c:val>
            <c:numRef>
              <c:f>'Pivot Table'!$B$14:$B$19</c:f>
              <c:numCache>
                <c:formatCode>_(* #,##0.00_);_(* \(#,##0.00\);_(* "-"??_);_(@_)</c:formatCode>
                <c:ptCount val="5"/>
                <c:pt idx="0">
                  <c:v>47820000</c:v>
                </c:pt>
                <c:pt idx="1">
                  <c:v>34020000</c:v>
                </c:pt>
                <c:pt idx="2">
                  <c:v>32080000</c:v>
                </c:pt>
                <c:pt idx="3">
                  <c:v>29415000</c:v>
                </c:pt>
                <c:pt idx="4">
                  <c:v>24790000</c:v>
                </c:pt>
              </c:numCache>
            </c:numRef>
          </c:val>
          <c:extLst>
            <c:ext xmlns:c16="http://schemas.microsoft.com/office/drawing/2014/chart" uri="{C3380CC4-5D6E-409C-BE32-E72D297353CC}">
              <c16:uniqueId val="{00000000-065C-406A-9DC0-15E55C0061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18399"/>
        <c:axId val="14737119"/>
      </c:areaChart>
      <c:catAx>
        <c:axId val="147183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37119"/>
        <c:crosses val="autoZero"/>
        <c:auto val="1"/>
        <c:lblAlgn val="ctr"/>
        <c:lblOffset val="100"/>
        <c:noMultiLvlLbl val="0"/>
      </c:catAx>
      <c:valAx>
        <c:axId val="14737119"/>
        <c:scaling>
          <c:orientation val="minMax"/>
        </c:scaling>
        <c:delete val="1"/>
        <c:axPos val="l"/>
        <c:numFmt formatCode="_(* #,##0.00_);_(* \(#,##0.00\);_(* &quot;-&quot;??_);_(@_)" sourceLinked="1"/>
        <c:majorTickMark val="out"/>
        <c:minorTickMark val="none"/>
        <c:tickLblPos val="nextTo"/>
        <c:crossAx val="14718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11</xdr:col>
      <xdr:colOff>190500</xdr:colOff>
      <xdr:row>39</xdr:row>
      <xdr:rowOff>101600</xdr:rowOff>
    </xdr:to>
    <xdr:sp macro="" textlink="">
      <xdr:nvSpPr>
        <xdr:cNvPr id="2" name="Rectangle 1">
          <a:extLst>
            <a:ext uri="{FF2B5EF4-FFF2-40B4-BE49-F238E27FC236}">
              <a16:creationId xmlns:a16="http://schemas.microsoft.com/office/drawing/2014/main" id="{512DC697-E50A-776E-6949-416AD1C8BD0C}"/>
            </a:ext>
          </a:extLst>
        </xdr:cNvPr>
        <xdr:cNvSpPr/>
      </xdr:nvSpPr>
      <xdr:spPr>
        <a:xfrm>
          <a:off x="0" y="19050"/>
          <a:ext cx="6896100" cy="751205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editAs="oneCell">
    <xdr:from>
      <xdr:col>0</xdr:col>
      <xdr:colOff>82550</xdr:colOff>
      <xdr:row>0</xdr:row>
      <xdr:rowOff>101600</xdr:rowOff>
    </xdr:from>
    <xdr:to>
      <xdr:col>2</xdr:col>
      <xdr:colOff>292099</xdr:colOff>
      <xdr:row>4</xdr:row>
      <xdr:rowOff>76200</xdr:rowOff>
    </xdr:to>
    <xdr:pic>
      <xdr:nvPicPr>
        <xdr:cNvPr id="3" name="Picture 2">
          <a:extLst>
            <a:ext uri="{FF2B5EF4-FFF2-40B4-BE49-F238E27FC236}">
              <a16:creationId xmlns:a16="http://schemas.microsoft.com/office/drawing/2014/main" id="{A1048B18-3A29-4EF3-AF00-10BE7FDAFD91}"/>
            </a:ext>
          </a:extLst>
        </xdr:cNvPr>
        <xdr:cNvPicPr>
          <a:picLocks noChangeAspect="1"/>
        </xdr:cNvPicPr>
      </xdr:nvPicPr>
      <xdr:blipFill>
        <a:blip xmlns:r="http://schemas.openxmlformats.org/officeDocument/2006/relationships" r:embed="rId1"/>
        <a:stretch>
          <a:fillRect/>
        </a:stretch>
      </xdr:blipFill>
      <xdr:spPr>
        <a:xfrm>
          <a:off x="82550" y="101600"/>
          <a:ext cx="1428749" cy="711200"/>
        </a:xfrm>
        <a:prstGeom prst="rect">
          <a:avLst/>
        </a:prstGeom>
        <a:solidFill>
          <a:schemeClr val="tx2"/>
        </a:solidFill>
      </xdr:spPr>
    </xdr:pic>
    <xdr:clientData/>
  </xdr:twoCellAnchor>
  <xdr:twoCellAnchor editAs="oneCell">
    <xdr:from>
      <xdr:col>2</xdr:col>
      <xdr:colOff>355600</xdr:colOff>
      <xdr:row>0</xdr:row>
      <xdr:rowOff>101600</xdr:rowOff>
    </xdr:from>
    <xdr:to>
      <xdr:col>5</xdr:col>
      <xdr:colOff>234950</xdr:colOff>
      <xdr:row>4</xdr:row>
      <xdr:rowOff>88900</xdr:rowOff>
    </xdr:to>
    <xdr:pic>
      <xdr:nvPicPr>
        <xdr:cNvPr id="4" name="Picture 3">
          <a:extLst>
            <a:ext uri="{FF2B5EF4-FFF2-40B4-BE49-F238E27FC236}">
              <a16:creationId xmlns:a16="http://schemas.microsoft.com/office/drawing/2014/main" id="{6C80818B-64D8-42E0-813D-1A0D3B49C9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4800" y="101600"/>
          <a:ext cx="17081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349250</xdr:colOff>
      <xdr:row>0</xdr:row>
      <xdr:rowOff>63500</xdr:rowOff>
    </xdr:from>
    <xdr:to>
      <xdr:col>10</xdr:col>
      <xdr:colOff>311150</xdr:colOff>
      <xdr:row>4</xdr:row>
      <xdr:rowOff>133350</xdr:rowOff>
    </xdr:to>
    <xdr:sp macro="" textlink="">
      <xdr:nvSpPr>
        <xdr:cNvPr id="5" name="Rectangle: Rounded Corners 4">
          <a:extLst>
            <a:ext uri="{FF2B5EF4-FFF2-40B4-BE49-F238E27FC236}">
              <a16:creationId xmlns:a16="http://schemas.microsoft.com/office/drawing/2014/main" id="{F1DD7030-A899-4B94-8DBC-C7C10A32ACE3}"/>
            </a:ext>
          </a:extLst>
        </xdr:cNvPr>
        <xdr:cNvSpPr/>
      </xdr:nvSpPr>
      <xdr:spPr>
        <a:xfrm>
          <a:off x="3397250" y="63500"/>
          <a:ext cx="3009900" cy="8064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D-Lite Electronics Ltd Dashboard</a:t>
          </a:r>
        </a:p>
      </xdr:txBody>
    </xdr:sp>
    <xdr:clientData/>
  </xdr:twoCellAnchor>
  <xdr:twoCellAnchor>
    <xdr:from>
      <xdr:col>2</xdr:col>
      <xdr:colOff>444500</xdr:colOff>
      <xdr:row>4</xdr:row>
      <xdr:rowOff>146050</xdr:rowOff>
    </xdr:from>
    <xdr:to>
      <xdr:col>4</xdr:col>
      <xdr:colOff>279400</xdr:colOff>
      <xdr:row>8</xdr:row>
      <xdr:rowOff>114300</xdr:rowOff>
    </xdr:to>
    <xdr:sp macro="" textlink="">
      <xdr:nvSpPr>
        <xdr:cNvPr id="6" name="Rectangle 5">
          <a:extLst>
            <a:ext uri="{FF2B5EF4-FFF2-40B4-BE49-F238E27FC236}">
              <a16:creationId xmlns:a16="http://schemas.microsoft.com/office/drawing/2014/main" id="{C159E31B-79A0-4B7F-B30B-3DB43D2250D1}"/>
            </a:ext>
          </a:extLst>
        </xdr:cNvPr>
        <xdr:cNvSpPr/>
      </xdr:nvSpPr>
      <xdr:spPr>
        <a:xfrm>
          <a:off x="1663700" y="882650"/>
          <a:ext cx="1054100" cy="70485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FFC000"/>
              </a:solidFill>
              <a:effectLst/>
              <a:latin typeface="+mn-lt"/>
              <a:ea typeface="+mn-ea"/>
              <a:cs typeface="+mn-cs"/>
            </a:rPr>
            <a:t>Total Revenue</a:t>
          </a:r>
          <a:endParaRPr lang="en-US" sz="1200">
            <a:solidFill>
              <a:srgbClr val="FFC000"/>
            </a:solidFill>
            <a:effectLst/>
          </a:endParaRPr>
        </a:p>
        <a:p>
          <a:pPr algn="ctr"/>
          <a:r>
            <a:rPr lang="en-US" sz="1200">
              <a:solidFill>
                <a:schemeClr val="bg1"/>
              </a:solidFill>
              <a:effectLst/>
              <a:latin typeface="+mn-lt"/>
              <a:ea typeface="+mn-ea"/>
              <a:cs typeface="+mn-cs"/>
            </a:rPr>
            <a:t>217575000</a:t>
          </a:r>
          <a:endParaRPr lang="en-US" sz="1200">
            <a:solidFill>
              <a:schemeClr val="bg1"/>
            </a:solidFill>
            <a:effectLst/>
          </a:endParaRPr>
        </a:p>
        <a:p>
          <a:pPr algn="l"/>
          <a:endParaRPr lang="en-US" sz="1100"/>
        </a:p>
      </xdr:txBody>
    </xdr:sp>
    <xdr:clientData/>
  </xdr:twoCellAnchor>
  <xdr:twoCellAnchor>
    <xdr:from>
      <xdr:col>4</xdr:col>
      <xdr:colOff>393700</xdr:colOff>
      <xdr:row>4</xdr:row>
      <xdr:rowOff>146050</xdr:rowOff>
    </xdr:from>
    <xdr:to>
      <xdr:col>6</xdr:col>
      <xdr:colOff>285750</xdr:colOff>
      <xdr:row>8</xdr:row>
      <xdr:rowOff>107950</xdr:rowOff>
    </xdr:to>
    <xdr:sp macro="" textlink="">
      <xdr:nvSpPr>
        <xdr:cNvPr id="7" name="Rectangle 6">
          <a:extLst>
            <a:ext uri="{FF2B5EF4-FFF2-40B4-BE49-F238E27FC236}">
              <a16:creationId xmlns:a16="http://schemas.microsoft.com/office/drawing/2014/main" id="{C1F6C6F2-C18E-419C-AE0B-0D3EA6C4A27B}"/>
            </a:ext>
          </a:extLst>
        </xdr:cNvPr>
        <xdr:cNvSpPr/>
      </xdr:nvSpPr>
      <xdr:spPr>
        <a:xfrm>
          <a:off x="2832100" y="882650"/>
          <a:ext cx="1111250" cy="6985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FFC000"/>
              </a:solidFill>
            </a:rPr>
            <a:t>Total Count of Product</a:t>
          </a:r>
        </a:p>
        <a:p>
          <a:pPr algn="ctr"/>
          <a:r>
            <a:rPr lang="en-US" sz="1200"/>
            <a:t>7</a:t>
          </a:r>
        </a:p>
      </xdr:txBody>
    </xdr:sp>
    <xdr:clientData/>
  </xdr:twoCellAnchor>
  <xdr:twoCellAnchor>
    <xdr:from>
      <xdr:col>6</xdr:col>
      <xdr:colOff>393700</xdr:colOff>
      <xdr:row>4</xdr:row>
      <xdr:rowOff>165100</xdr:rowOff>
    </xdr:from>
    <xdr:to>
      <xdr:col>8</xdr:col>
      <xdr:colOff>406400</xdr:colOff>
      <xdr:row>8</xdr:row>
      <xdr:rowOff>120650</xdr:rowOff>
    </xdr:to>
    <xdr:sp macro="" textlink="">
      <xdr:nvSpPr>
        <xdr:cNvPr id="8" name="Rectangle 7">
          <a:extLst>
            <a:ext uri="{FF2B5EF4-FFF2-40B4-BE49-F238E27FC236}">
              <a16:creationId xmlns:a16="http://schemas.microsoft.com/office/drawing/2014/main" id="{22EC7368-3ACB-4B8B-9E3E-FD2FA2AC44AB}"/>
            </a:ext>
          </a:extLst>
        </xdr:cNvPr>
        <xdr:cNvSpPr/>
      </xdr:nvSpPr>
      <xdr:spPr>
        <a:xfrm>
          <a:off x="4051300" y="901700"/>
          <a:ext cx="1231900" cy="69215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FFC000"/>
              </a:solidFill>
            </a:rPr>
            <a:t>Total Units Sold</a:t>
          </a:r>
        </a:p>
        <a:p>
          <a:pPr algn="ctr"/>
          <a:r>
            <a:rPr lang="en-US" sz="1200"/>
            <a:t>1141</a:t>
          </a:r>
        </a:p>
      </xdr:txBody>
    </xdr:sp>
    <xdr:clientData/>
  </xdr:twoCellAnchor>
  <xdr:twoCellAnchor>
    <xdr:from>
      <xdr:col>8</xdr:col>
      <xdr:colOff>476250</xdr:colOff>
      <xdr:row>4</xdr:row>
      <xdr:rowOff>165100</xdr:rowOff>
    </xdr:from>
    <xdr:to>
      <xdr:col>10</xdr:col>
      <xdr:colOff>323850</xdr:colOff>
      <xdr:row>8</xdr:row>
      <xdr:rowOff>158750</xdr:rowOff>
    </xdr:to>
    <xdr:sp macro="" textlink="">
      <xdr:nvSpPr>
        <xdr:cNvPr id="9" name="Rectangle 8">
          <a:extLst>
            <a:ext uri="{FF2B5EF4-FFF2-40B4-BE49-F238E27FC236}">
              <a16:creationId xmlns:a16="http://schemas.microsoft.com/office/drawing/2014/main" id="{3EFC6232-C446-44DA-9641-073B03F1C040}"/>
            </a:ext>
          </a:extLst>
        </xdr:cNvPr>
        <xdr:cNvSpPr/>
      </xdr:nvSpPr>
      <xdr:spPr>
        <a:xfrm>
          <a:off x="5353050" y="901700"/>
          <a:ext cx="1066800" cy="73025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accent6"/>
              </a:solidFill>
            </a:rPr>
            <a:t>Best Selling Product</a:t>
          </a:r>
        </a:p>
        <a:p>
          <a:pPr algn="ctr"/>
          <a:r>
            <a:rPr lang="en-US" sz="1100">
              <a:solidFill>
                <a:schemeClr val="accent6"/>
              </a:solidFill>
            </a:rPr>
            <a:t>TV 43Q</a:t>
          </a:r>
        </a:p>
      </xdr:txBody>
    </xdr:sp>
    <xdr:clientData/>
  </xdr:twoCellAnchor>
  <xdr:twoCellAnchor editAs="oneCell">
    <xdr:from>
      <xdr:col>0</xdr:col>
      <xdr:colOff>57150</xdr:colOff>
      <xdr:row>4</xdr:row>
      <xdr:rowOff>165101</xdr:rowOff>
    </xdr:from>
    <xdr:to>
      <xdr:col>2</xdr:col>
      <xdr:colOff>266700</xdr:colOff>
      <xdr:row>11</xdr:row>
      <xdr:rowOff>12701</xdr:rowOff>
    </xdr:to>
    <mc:AlternateContent xmlns:mc="http://schemas.openxmlformats.org/markup-compatibility/2006" xmlns:a14="http://schemas.microsoft.com/office/drawing/2010/main">
      <mc:Choice Requires="a14">
        <xdr:graphicFrame macro="">
          <xdr:nvGraphicFramePr>
            <xdr:cNvPr id="10" name="Revenue">
              <a:extLst>
                <a:ext uri="{FF2B5EF4-FFF2-40B4-BE49-F238E27FC236}">
                  <a16:creationId xmlns:a16="http://schemas.microsoft.com/office/drawing/2014/main" id="{9882BFEE-3782-47F8-A3EB-DCFBBD5A7E12}"/>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57150" y="901701"/>
              <a:ext cx="1428750" cy="113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11</xdr:row>
      <xdr:rowOff>63500</xdr:rowOff>
    </xdr:from>
    <xdr:to>
      <xdr:col>2</xdr:col>
      <xdr:colOff>292100</xdr:colOff>
      <xdr:row>19</xdr:row>
      <xdr:rowOff>6350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DC62B89-A8DF-4193-A199-5956ECDFF8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2089150"/>
              <a:ext cx="1454150" cy="141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368300</xdr:colOff>
      <xdr:row>9</xdr:row>
      <xdr:rowOff>38100</xdr:rowOff>
    </xdr:from>
    <xdr:to>
      <xdr:col>11</xdr:col>
      <xdr:colOff>63500</xdr:colOff>
      <xdr:row>19</xdr:row>
      <xdr:rowOff>31750</xdr:rowOff>
    </xdr:to>
    <xdr:graphicFrame macro="">
      <xdr:nvGraphicFramePr>
        <xdr:cNvPr id="12" name="Chart 11">
          <a:extLst>
            <a:ext uri="{FF2B5EF4-FFF2-40B4-BE49-F238E27FC236}">
              <a16:creationId xmlns:a16="http://schemas.microsoft.com/office/drawing/2014/main" id="{32EB0D0D-E515-46D2-AE6E-BDF6AC153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19</xdr:row>
      <xdr:rowOff>139700</xdr:rowOff>
    </xdr:from>
    <xdr:to>
      <xdr:col>2</xdr:col>
      <xdr:colOff>215900</xdr:colOff>
      <xdr:row>27</xdr:row>
      <xdr:rowOff>171449</xdr:rowOff>
    </xdr:to>
    <mc:AlternateContent xmlns:mc="http://schemas.openxmlformats.org/markup-compatibility/2006" xmlns:a14="http://schemas.microsoft.com/office/drawing/2010/main">
      <mc:Choice Requires="a14">
        <xdr:graphicFrame macro="">
          <xdr:nvGraphicFramePr>
            <xdr:cNvPr id="13" name="Months (Date)">
              <a:extLst>
                <a:ext uri="{FF2B5EF4-FFF2-40B4-BE49-F238E27FC236}">
                  <a16:creationId xmlns:a16="http://schemas.microsoft.com/office/drawing/2014/main" id="{0A442476-EEC9-4F98-B433-E5FCE3D7C17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9050" y="3638550"/>
              <a:ext cx="1416050"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28</xdr:row>
      <xdr:rowOff>50800</xdr:rowOff>
    </xdr:from>
    <xdr:to>
      <xdr:col>2</xdr:col>
      <xdr:colOff>196850</xdr:colOff>
      <xdr:row>36</xdr:row>
      <xdr:rowOff>12700</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72DF3A1A-A90B-4E51-80DA-047A94DFBF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800" y="5207000"/>
              <a:ext cx="1365250" cy="143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336550</xdr:colOff>
      <xdr:row>19</xdr:row>
      <xdr:rowOff>146050</xdr:rowOff>
    </xdr:from>
    <xdr:to>
      <xdr:col>7</xdr:col>
      <xdr:colOff>292100</xdr:colOff>
      <xdr:row>26</xdr:row>
      <xdr:rowOff>57150</xdr:rowOff>
    </xdr:to>
    <xdr:graphicFrame macro="">
      <xdr:nvGraphicFramePr>
        <xdr:cNvPr id="15" name="Chart 14">
          <a:extLst>
            <a:ext uri="{FF2B5EF4-FFF2-40B4-BE49-F238E27FC236}">
              <a16:creationId xmlns:a16="http://schemas.microsoft.com/office/drawing/2014/main" id="{49670094-3A2F-46E5-84D5-7108FE10F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317500</xdr:colOff>
      <xdr:row>19</xdr:row>
      <xdr:rowOff>127000</xdr:rowOff>
    </xdr:from>
    <xdr:to>
      <xdr:col>11</xdr:col>
      <xdr:colOff>76200</xdr:colOff>
      <xdr:row>27</xdr:row>
      <xdr:rowOff>6350</xdr:rowOff>
    </xdr:to>
    <xdr:graphicFrame macro="">
      <xdr:nvGraphicFramePr>
        <xdr:cNvPr id="16" name="Chart 15">
          <a:extLst>
            <a:ext uri="{FF2B5EF4-FFF2-40B4-BE49-F238E27FC236}">
              <a16:creationId xmlns:a16="http://schemas.microsoft.com/office/drawing/2014/main" id="{EB345CC6-2A14-49C6-847C-17B846515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26</xdr:row>
      <xdr:rowOff>120650</xdr:rowOff>
    </xdr:from>
    <xdr:to>
      <xdr:col>6</xdr:col>
      <xdr:colOff>342900</xdr:colOff>
      <xdr:row>35</xdr:row>
      <xdr:rowOff>165100</xdr:rowOff>
    </xdr:to>
    <xdr:graphicFrame macro="">
      <xdr:nvGraphicFramePr>
        <xdr:cNvPr id="17" name="Chart 16">
          <a:extLst>
            <a:ext uri="{FF2B5EF4-FFF2-40B4-BE49-F238E27FC236}">
              <a16:creationId xmlns:a16="http://schemas.microsoft.com/office/drawing/2014/main" id="{D2CA1BD8-F74E-412E-ABC4-717600CE0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406400</xdr:colOff>
      <xdr:row>27</xdr:row>
      <xdr:rowOff>69850</xdr:rowOff>
    </xdr:from>
    <xdr:to>
      <xdr:col>11</xdr:col>
      <xdr:colOff>114300</xdr:colOff>
      <xdr:row>36</xdr:row>
      <xdr:rowOff>38100</xdr:rowOff>
    </xdr:to>
    <xdr:graphicFrame macro="">
      <xdr:nvGraphicFramePr>
        <xdr:cNvPr id="18" name="Chart 17">
          <a:extLst>
            <a:ext uri="{FF2B5EF4-FFF2-40B4-BE49-F238E27FC236}">
              <a16:creationId xmlns:a16="http://schemas.microsoft.com/office/drawing/2014/main" id="{9B75299A-317A-40D8-B960-9A640C9F2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PC\Downloads\Final%20Project%20(1).xlsx" TargetMode="External"/><Relationship Id="rId1" Type="http://schemas.openxmlformats.org/officeDocument/2006/relationships/externalLinkPath" Target="Final%20Projec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heet1"/>
      <sheetName val="Sales Data"/>
      <sheetName val="Pivot Table"/>
      <sheetName val="Dashboard"/>
      <sheetName val="Final Project (1)"/>
    </sheetNames>
    <sheetDataSet>
      <sheetData sheetId="0"/>
      <sheetData sheetId="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PC" refreshedDate="46037.591307986113" createdVersion="8" refreshedVersion="8" minRefreshableVersion="3" recordCount="100" xr:uid="{299169BE-7AAD-4181-A2F3-EF53250DB091}">
  <cacheSource type="worksheet">
    <worksheetSource name="SalesData"/>
  </cacheSource>
  <cacheFields count="11">
    <cacheField name="Date" numFmtId="15">
      <sharedItems containsSemiMixedTypes="0" containsNonDate="0" containsDate="1" containsString="0" minDate="2025-01-04T00:00:00" maxDate="2025-07-01T00:00:00" count="78">
        <d v="2025-06-13T00:00:00"/>
        <d v="2025-04-08T00:00:00"/>
        <d v="2025-01-29T00:00:00"/>
        <d v="2025-05-17T00:00:00"/>
        <d v="2025-01-28T00:00:00"/>
        <d v="2025-05-26T00:00:00"/>
        <d v="2025-05-06T00:00:00"/>
        <d v="2025-02-10T00:00:00"/>
        <d v="2025-02-01T00:00:00"/>
        <d v="2025-06-28T00:00:00"/>
        <d v="2025-04-18T00:00:00"/>
        <d v="2025-02-25T00:00:00"/>
        <d v="2025-04-29T00:00:00"/>
        <d v="2025-02-02T00:00:00"/>
        <d v="2025-04-15T00:00:00"/>
        <d v="2025-06-12T00:00:00"/>
        <d v="2025-01-31T00:00:00"/>
        <d v="2025-05-25T00:00:00"/>
        <d v="2025-02-26T00:00:00"/>
        <d v="2025-04-06T00:00:00"/>
        <d v="2025-02-24T00:00:00"/>
        <d v="2025-03-24T00:00:00"/>
        <d v="2025-05-28T00:00:00"/>
        <d v="2025-05-12T00:00:00"/>
        <d v="2025-05-11T00:00:00"/>
        <d v="2025-01-16T00:00:00"/>
        <d v="2025-05-10T00:00:00"/>
        <d v="2025-02-06T00:00:00"/>
        <d v="2025-06-17T00:00:00"/>
        <d v="2025-01-09T00:00:00"/>
        <d v="2025-06-29T00:00:00"/>
        <d v="2025-03-19T00:00:00"/>
        <d v="2025-02-07T00:00:00"/>
        <d v="2025-03-07T00:00:00"/>
        <d v="2025-05-07T00:00:00"/>
        <d v="2025-06-30T00:00:00"/>
        <d v="2025-01-13T00:00:00"/>
        <d v="2025-06-15T00:00:00"/>
        <d v="2025-02-28T00:00:00"/>
        <d v="2025-02-19T00:00:00"/>
        <d v="2025-03-03T00:00:00"/>
        <d v="2025-04-01T00:00:00"/>
        <d v="2025-04-07T00:00:00"/>
        <d v="2025-06-01T00:00:00"/>
        <d v="2025-01-14T00:00:00"/>
        <d v="2025-02-22T00:00:00"/>
        <d v="2025-04-24T00:00:00"/>
        <d v="2025-01-27T00:00:00"/>
        <d v="2025-01-04T00:00:00"/>
        <d v="2025-03-08T00:00:00"/>
        <d v="2025-01-23T00:00:00"/>
        <d v="2025-02-05T00:00:00"/>
        <d v="2025-01-06T00:00:00"/>
        <d v="2025-05-02T00:00:00"/>
        <d v="2025-06-02T00:00:00"/>
        <d v="2025-02-16T00:00:00"/>
        <d v="2025-04-14T00:00:00"/>
        <d v="2025-01-11T00:00:00"/>
        <d v="2025-05-29T00:00:00"/>
        <d v="2025-03-15T00:00:00"/>
        <d v="2025-03-26T00:00:00"/>
        <d v="2025-01-12T00:00:00"/>
        <d v="2025-05-05T00:00:00"/>
        <d v="2025-05-19T00:00:00"/>
        <d v="2025-04-04T00:00:00"/>
        <d v="2025-06-03T00:00:00"/>
        <d v="2025-04-05T00:00:00"/>
        <d v="2025-01-30T00:00:00"/>
        <d v="2025-05-27T00:00:00"/>
        <d v="2025-02-13T00:00:00"/>
        <d v="2025-04-09T00:00:00"/>
        <d v="2025-02-20T00:00:00"/>
        <d v="2025-04-10T00:00:00"/>
        <d v="2025-05-21T00:00:00"/>
        <d v="2025-06-26T00:00:00"/>
        <d v="2025-06-27T00:00:00"/>
        <d v="2025-06-07T00:00:00"/>
        <d v="2025-05-13T00:00:00"/>
      </sharedItems>
      <fieldGroup par="10"/>
    </cacheField>
    <cacheField name="Region" numFmtId="0">
      <sharedItems count="4">
        <s v="South"/>
        <s v="East"/>
        <s v="North_x0009_"/>
        <s v="West"/>
      </sharedItems>
    </cacheField>
    <cacheField name="Product" numFmtId="0">
      <sharedItems count="7">
        <s v="Laptop A15"/>
        <s v="Tv 43Q"/>
        <s v="Phone X12"/>
        <s v="Monitor M24"/>
        <s v="Camera C100"/>
        <s v="Tablet T8"/>
        <s v="Speaker S10"/>
      </sharedItems>
    </cacheField>
    <cacheField name="Category" numFmtId="0">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65000" maxValue="350000"/>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ount="14">
        <s v="Bright Solutions"/>
        <s v="Musa Enterprises"/>
        <s v="Zainab Global"/>
        <s v="Jide Superstores"/>
        <s v="Chika Mart"/>
        <s v="Alpha Retailers"/>
        <s v="Omega Wholesale"/>
        <s v="Kelvin Tech"/>
        <s v="Emeka Traders"/>
        <s v="Tola Ventures"/>
        <s v="Femi Tech"/>
        <s v="Maryam Ltd"/>
        <s v="Tope &amp; Sons"/>
        <s v="Adewale Stores"/>
      </sharedItems>
    </cacheField>
    <cacheField name="Units Category" numFmtId="0">
      <sharedItems count="3">
        <s v="Low Units"/>
        <s v="Average Units"/>
        <s v="High Units"/>
      </sharedItems>
    </cacheField>
    <cacheField name="Revenue" numFmtId="43">
      <sharedItems containsSemiMixedTypes="0" containsString="0" containsNumber="1" containsInteger="1" minValue="130000" maxValue="7000000" count="65">
        <n v="2000000"/>
        <n v="2100000"/>
        <n v="2520000"/>
        <n v="1170000"/>
        <n v="900000"/>
        <n v="3420000"/>
        <n v="1050000"/>
        <n v="130000"/>
        <n v="2450000"/>
        <n v="600000"/>
        <n v="3000000"/>
        <n v="510000"/>
        <n v="150000"/>
        <n v="6300000"/>
        <n v="170000"/>
        <n v="715000"/>
        <n v="1750000"/>
        <n v="525000"/>
        <n v="875000"/>
        <n v="5000000"/>
        <n v="350000"/>
        <n v="1200000"/>
        <n v="4750000"/>
        <n v="935000"/>
        <n v="1105000"/>
        <n v="5250000"/>
        <n v="2800000"/>
        <n v="4900000"/>
        <n v="1800000"/>
        <n v="1400000"/>
        <n v="780000"/>
        <n v="260000"/>
        <n v="3150000"/>
        <n v="650000"/>
        <n v="450000"/>
        <n v="1440000"/>
        <n v="750000"/>
        <n v="1530000"/>
        <n v="1350000"/>
        <n v="2700000"/>
        <n v="1650000"/>
        <n v="2850000"/>
        <n v="595000"/>
        <n v="845000"/>
        <n v="325000"/>
        <n v="4550000"/>
        <n v="6650000"/>
        <n v="1620000"/>
        <n v="1500000"/>
        <n v="850000"/>
        <n v="1250000"/>
        <n v="3850000"/>
        <n v="3500000"/>
        <n v="2400000"/>
        <n v="3250000"/>
        <n v="5950000"/>
        <n v="2340000"/>
        <n v="425000"/>
        <n v="2550000"/>
        <n v="1235000"/>
        <n v="720000"/>
        <n v="2750000"/>
        <n v="3325000"/>
        <n v="2975000"/>
        <n v="7000000"/>
      </sharedItems>
    </cacheField>
    <cacheField name="Months (Date)" numFmtId="0" databaseField="0">
      <fieldGroup base="0">
        <rangePr groupBy="months" startDate="2025-01-04T00:00:00" endDate="2025-07-01T00:00:00"/>
        <groupItems count="14">
          <s v="&lt;01/04/2025"/>
          <s v="Jan"/>
          <s v="Feb"/>
          <s v="Mar"/>
          <s v="Apr"/>
          <s v="May"/>
          <s v="Jun"/>
          <s v="Jul"/>
          <s v="Aug"/>
          <s v="Sep"/>
          <s v="Oct"/>
          <s v="Nov"/>
          <s v="Dec"/>
          <s v="&gt;07/01/2025"/>
        </groupItems>
      </fieldGroup>
    </cacheField>
  </cacheFields>
  <extLst>
    <ext xmlns:x14="http://schemas.microsoft.com/office/spreadsheetml/2009/9/main" uri="{725AE2AE-9491-48be-B2B4-4EB974FC3084}">
      <x14:pivotCacheDefinition pivotCacheId="1950241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Computers"/>
    <n v="8"/>
    <n v="250000"/>
    <x v="0"/>
    <x v="0"/>
    <x v="0"/>
    <x v="0"/>
  </r>
  <r>
    <x v="1"/>
    <x v="1"/>
    <x v="1"/>
    <s v="Electronics"/>
    <n v="6"/>
    <n v="350000"/>
    <x v="1"/>
    <x v="1"/>
    <x v="0"/>
    <x v="1"/>
  </r>
  <r>
    <x v="2"/>
    <x v="2"/>
    <x v="2"/>
    <s v="Mobile"/>
    <n v="14"/>
    <n v="180000"/>
    <x v="2"/>
    <x v="2"/>
    <x v="1"/>
    <x v="2"/>
  </r>
  <r>
    <x v="3"/>
    <x v="0"/>
    <x v="3"/>
    <s v="Peripherals"/>
    <n v="18"/>
    <n v="65000"/>
    <x v="1"/>
    <x v="3"/>
    <x v="2"/>
    <x v="3"/>
  </r>
  <r>
    <x v="4"/>
    <x v="3"/>
    <x v="2"/>
    <s v="Mobile"/>
    <n v="5"/>
    <n v="180000"/>
    <x v="0"/>
    <x v="4"/>
    <x v="0"/>
    <x v="4"/>
  </r>
  <r>
    <x v="5"/>
    <x v="1"/>
    <x v="2"/>
    <s v="Mobile"/>
    <n v="19"/>
    <n v="180000"/>
    <x v="1"/>
    <x v="1"/>
    <x v="2"/>
    <x v="5"/>
  </r>
  <r>
    <x v="6"/>
    <x v="3"/>
    <x v="1"/>
    <s v="Electronics"/>
    <n v="3"/>
    <n v="350000"/>
    <x v="3"/>
    <x v="4"/>
    <x v="0"/>
    <x v="6"/>
  </r>
  <r>
    <x v="7"/>
    <x v="3"/>
    <x v="3"/>
    <s v="Peripherals"/>
    <n v="2"/>
    <n v="65000"/>
    <x v="0"/>
    <x v="1"/>
    <x v="0"/>
    <x v="7"/>
  </r>
  <r>
    <x v="8"/>
    <x v="1"/>
    <x v="4"/>
    <s v="Photography"/>
    <n v="14"/>
    <n v="175000"/>
    <x v="2"/>
    <x v="0"/>
    <x v="1"/>
    <x v="8"/>
  </r>
  <r>
    <x v="9"/>
    <x v="3"/>
    <x v="5"/>
    <s v="Mobile"/>
    <n v="4"/>
    <n v="150000"/>
    <x v="0"/>
    <x v="5"/>
    <x v="0"/>
    <x v="9"/>
  </r>
  <r>
    <x v="10"/>
    <x v="0"/>
    <x v="5"/>
    <s v="Mobile"/>
    <n v="20"/>
    <n v="150000"/>
    <x v="2"/>
    <x v="1"/>
    <x v="2"/>
    <x v="10"/>
  </r>
  <r>
    <x v="11"/>
    <x v="2"/>
    <x v="6"/>
    <s v="Audio"/>
    <n v="6"/>
    <n v="85000"/>
    <x v="3"/>
    <x v="6"/>
    <x v="0"/>
    <x v="11"/>
  </r>
  <r>
    <x v="12"/>
    <x v="3"/>
    <x v="5"/>
    <s v="Mobile"/>
    <n v="1"/>
    <n v="150000"/>
    <x v="3"/>
    <x v="7"/>
    <x v="0"/>
    <x v="12"/>
  </r>
  <r>
    <x v="13"/>
    <x v="1"/>
    <x v="1"/>
    <s v="Electronics"/>
    <n v="18"/>
    <n v="350000"/>
    <x v="4"/>
    <x v="8"/>
    <x v="2"/>
    <x v="13"/>
  </r>
  <r>
    <x v="14"/>
    <x v="0"/>
    <x v="6"/>
    <s v="Audio"/>
    <n v="2"/>
    <n v="85000"/>
    <x v="1"/>
    <x v="0"/>
    <x v="0"/>
    <x v="14"/>
  </r>
  <r>
    <x v="15"/>
    <x v="1"/>
    <x v="3"/>
    <s v="Peripherals"/>
    <n v="11"/>
    <n v="65000"/>
    <x v="4"/>
    <x v="9"/>
    <x v="1"/>
    <x v="15"/>
  </r>
  <r>
    <x v="16"/>
    <x v="1"/>
    <x v="4"/>
    <s v="Photography"/>
    <n v="10"/>
    <n v="175000"/>
    <x v="2"/>
    <x v="6"/>
    <x v="0"/>
    <x v="16"/>
  </r>
  <r>
    <x v="13"/>
    <x v="3"/>
    <x v="5"/>
    <s v="Mobile"/>
    <n v="4"/>
    <n v="150000"/>
    <x v="5"/>
    <x v="3"/>
    <x v="0"/>
    <x v="9"/>
  </r>
  <r>
    <x v="17"/>
    <x v="3"/>
    <x v="4"/>
    <s v="Photography"/>
    <n v="3"/>
    <n v="175000"/>
    <x v="6"/>
    <x v="10"/>
    <x v="0"/>
    <x v="17"/>
  </r>
  <r>
    <x v="18"/>
    <x v="2"/>
    <x v="4"/>
    <s v="Photography"/>
    <n v="5"/>
    <n v="175000"/>
    <x v="4"/>
    <x v="10"/>
    <x v="0"/>
    <x v="18"/>
  </r>
  <r>
    <x v="19"/>
    <x v="1"/>
    <x v="0"/>
    <s v="Computers"/>
    <n v="20"/>
    <n v="250000"/>
    <x v="6"/>
    <x v="1"/>
    <x v="2"/>
    <x v="19"/>
  </r>
  <r>
    <x v="20"/>
    <x v="1"/>
    <x v="4"/>
    <s v="Photography"/>
    <n v="2"/>
    <n v="175000"/>
    <x v="0"/>
    <x v="8"/>
    <x v="0"/>
    <x v="20"/>
  </r>
  <r>
    <x v="21"/>
    <x v="1"/>
    <x v="5"/>
    <s v="Mobile"/>
    <n v="20"/>
    <n v="150000"/>
    <x v="2"/>
    <x v="11"/>
    <x v="2"/>
    <x v="10"/>
  </r>
  <r>
    <x v="22"/>
    <x v="2"/>
    <x v="5"/>
    <s v="Mobile"/>
    <n v="8"/>
    <n v="150000"/>
    <x v="1"/>
    <x v="6"/>
    <x v="0"/>
    <x v="21"/>
  </r>
  <r>
    <x v="23"/>
    <x v="3"/>
    <x v="0"/>
    <s v="Computers"/>
    <n v="19"/>
    <n v="250000"/>
    <x v="6"/>
    <x v="10"/>
    <x v="2"/>
    <x v="22"/>
  </r>
  <r>
    <x v="24"/>
    <x v="1"/>
    <x v="4"/>
    <s v="Photography"/>
    <n v="12"/>
    <n v="175000"/>
    <x v="4"/>
    <x v="6"/>
    <x v="1"/>
    <x v="1"/>
  </r>
  <r>
    <x v="25"/>
    <x v="2"/>
    <x v="6"/>
    <s v="Audio"/>
    <n v="11"/>
    <n v="85000"/>
    <x v="6"/>
    <x v="10"/>
    <x v="1"/>
    <x v="23"/>
  </r>
  <r>
    <x v="26"/>
    <x v="2"/>
    <x v="3"/>
    <s v="Peripherals"/>
    <n v="17"/>
    <n v="65000"/>
    <x v="4"/>
    <x v="7"/>
    <x v="2"/>
    <x v="24"/>
  </r>
  <r>
    <x v="8"/>
    <x v="0"/>
    <x v="1"/>
    <s v="Electronics"/>
    <n v="15"/>
    <n v="350000"/>
    <x v="7"/>
    <x v="2"/>
    <x v="1"/>
    <x v="25"/>
  </r>
  <r>
    <x v="27"/>
    <x v="3"/>
    <x v="1"/>
    <s v="Electronics"/>
    <n v="8"/>
    <n v="350000"/>
    <x v="0"/>
    <x v="10"/>
    <x v="0"/>
    <x v="26"/>
  </r>
  <r>
    <x v="28"/>
    <x v="3"/>
    <x v="1"/>
    <s v="Electronics"/>
    <n v="14"/>
    <n v="350000"/>
    <x v="4"/>
    <x v="12"/>
    <x v="1"/>
    <x v="27"/>
  </r>
  <r>
    <x v="29"/>
    <x v="1"/>
    <x v="5"/>
    <s v="Mobile"/>
    <n v="12"/>
    <n v="150000"/>
    <x v="2"/>
    <x v="5"/>
    <x v="1"/>
    <x v="28"/>
  </r>
  <r>
    <x v="30"/>
    <x v="2"/>
    <x v="4"/>
    <s v="Photography"/>
    <n v="8"/>
    <n v="175000"/>
    <x v="0"/>
    <x v="5"/>
    <x v="0"/>
    <x v="29"/>
  </r>
  <r>
    <x v="31"/>
    <x v="0"/>
    <x v="5"/>
    <s v="Mobile"/>
    <n v="6"/>
    <n v="150000"/>
    <x v="0"/>
    <x v="10"/>
    <x v="0"/>
    <x v="4"/>
  </r>
  <r>
    <x v="27"/>
    <x v="3"/>
    <x v="0"/>
    <s v="Computers"/>
    <n v="20"/>
    <n v="250000"/>
    <x v="0"/>
    <x v="6"/>
    <x v="2"/>
    <x v="19"/>
  </r>
  <r>
    <x v="19"/>
    <x v="0"/>
    <x v="3"/>
    <s v="Peripherals"/>
    <n v="12"/>
    <n v="65000"/>
    <x v="0"/>
    <x v="11"/>
    <x v="1"/>
    <x v="30"/>
  </r>
  <r>
    <x v="32"/>
    <x v="0"/>
    <x v="3"/>
    <s v="Peripherals"/>
    <n v="4"/>
    <n v="65000"/>
    <x v="5"/>
    <x v="12"/>
    <x v="0"/>
    <x v="31"/>
  </r>
  <r>
    <x v="33"/>
    <x v="1"/>
    <x v="4"/>
    <s v="Photography"/>
    <n v="18"/>
    <n v="175000"/>
    <x v="6"/>
    <x v="0"/>
    <x v="2"/>
    <x v="32"/>
  </r>
  <r>
    <x v="34"/>
    <x v="2"/>
    <x v="2"/>
    <s v="Mobile"/>
    <n v="10"/>
    <n v="180000"/>
    <x v="5"/>
    <x v="4"/>
    <x v="0"/>
    <x v="28"/>
  </r>
  <r>
    <x v="35"/>
    <x v="1"/>
    <x v="3"/>
    <s v="Peripherals"/>
    <n v="10"/>
    <n v="65000"/>
    <x v="8"/>
    <x v="1"/>
    <x v="0"/>
    <x v="33"/>
  </r>
  <r>
    <x v="11"/>
    <x v="2"/>
    <x v="5"/>
    <s v="Mobile"/>
    <n v="3"/>
    <n v="150000"/>
    <x v="5"/>
    <x v="12"/>
    <x v="0"/>
    <x v="34"/>
  </r>
  <r>
    <x v="36"/>
    <x v="0"/>
    <x v="2"/>
    <s v="Mobile"/>
    <n v="8"/>
    <n v="180000"/>
    <x v="3"/>
    <x v="6"/>
    <x v="0"/>
    <x v="35"/>
  </r>
  <r>
    <x v="37"/>
    <x v="0"/>
    <x v="0"/>
    <s v="Computers"/>
    <n v="3"/>
    <n v="250000"/>
    <x v="5"/>
    <x v="4"/>
    <x v="0"/>
    <x v="36"/>
  </r>
  <r>
    <x v="38"/>
    <x v="1"/>
    <x v="6"/>
    <s v="Audio"/>
    <n v="18"/>
    <n v="85000"/>
    <x v="1"/>
    <x v="5"/>
    <x v="2"/>
    <x v="37"/>
  </r>
  <r>
    <x v="39"/>
    <x v="3"/>
    <x v="5"/>
    <s v="Mobile"/>
    <n v="9"/>
    <n v="150000"/>
    <x v="5"/>
    <x v="7"/>
    <x v="0"/>
    <x v="38"/>
  </r>
  <r>
    <x v="40"/>
    <x v="1"/>
    <x v="5"/>
    <s v="Mobile"/>
    <n v="18"/>
    <n v="150000"/>
    <x v="2"/>
    <x v="5"/>
    <x v="2"/>
    <x v="39"/>
  </r>
  <r>
    <x v="41"/>
    <x v="3"/>
    <x v="5"/>
    <s v="Mobile"/>
    <n v="11"/>
    <n v="150000"/>
    <x v="5"/>
    <x v="4"/>
    <x v="1"/>
    <x v="40"/>
  </r>
  <r>
    <x v="42"/>
    <x v="0"/>
    <x v="1"/>
    <s v="Electronics"/>
    <n v="4"/>
    <n v="350000"/>
    <x v="6"/>
    <x v="3"/>
    <x v="0"/>
    <x v="29"/>
  </r>
  <r>
    <x v="18"/>
    <x v="0"/>
    <x v="5"/>
    <s v="Mobile"/>
    <n v="19"/>
    <n v="150000"/>
    <x v="9"/>
    <x v="7"/>
    <x v="2"/>
    <x v="41"/>
  </r>
  <r>
    <x v="43"/>
    <x v="1"/>
    <x v="6"/>
    <s v="Audio"/>
    <n v="7"/>
    <n v="85000"/>
    <x v="3"/>
    <x v="0"/>
    <x v="0"/>
    <x v="42"/>
  </r>
  <r>
    <x v="44"/>
    <x v="3"/>
    <x v="3"/>
    <s v="Peripherals"/>
    <n v="13"/>
    <n v="65000"/>
    <x v="2"/>
    <x v="10"/>
    <x v="1"/>
    <x v="43"/>
  </r>
  <r>
    <x v="45"/>
    <x v="1"/>
    <x v="3"/>
    <s v="Peripherals"/>
    <n v="18"/>
    <n v="65000"/>
    <x v="6"/>
    <x v="3"/>
    <x v="2"/>
    <x v="3"/>
  </r>
  <r>
    <x v="46"/>
    <x v="3"/>
    <x v="3"/>
    <s v="Peripherals"/>
    <n v="5"/>
    <n v="65000"/>
    <x v="3"/>
    <x v="7"/>
    <x v="0"/>
    <x v="44"/>
  </r>
  <r>
    <x v="47"/>
    <x v="0"/>
    <x v="1"/>
    <s v="Electronics"/>
    <n v="13"/>
    <n v="350000"/>
    <x v="4"/>
    <x v="10"/>
    <x v="1"/>
    <x v="45"/>
  </r>
  <r>
    <x v="48"/>
    <x v="3"/>
    <x v="1"/>
    <s v="Electronics"/>
    <n v="19"/>
    <n v="350000"/>
    <x v="1"/>
    <x v="3"/>
    <x v="2"/>
    <x v="46"/>
  </r>
  <r>
    <x v="49"/>
    <x v="2"/>
    <x v="2"/>
    <s v="Mobile"/>
    <n v="9"/>
    <n v="180000"/>
    <x v="3"/>
    <x v="13"/>
    <x v="0"/>
    <x v="47"/>
  </r>
  <r>
    <x v="50"/>
    <x v="1"/>
    <x v="5"/>
    <s v="Mobile"/>
    <n v="10"/>
    <n v="150000"/>
    <x v="4"/>
    <x v="11"/>
    <x v="0"/>
    <x v="48"/>
  </r>
  <r>
    <x v="25"/>
    <x v="1"/>
    <x v="6"/>
    <s v="Audio"/>
    <n v="10"/>
    <n v="85000"/>
    <x v="3"/>
    <x v="7"/>
    <x v="0"/>
    <x v="49"/>
  </r>
  <r>
    <x v="51"/>
    <x v="0"/>
    <x v="0"/>
    <s v="Computers"/>
    <n v="5"/>
    <n v="250000"/>
    <x v="3"/>
    <x v="2"/>
    <x v="0"/>
    <x v="50"/>
  </r>
  <r>
    <x v="17"/>
    <x v="1"/>
    <x v="5"/>
    <s v="Mobile"/>
    <n v="1"/>
    <n v="150000"/>
    <x v="6"/>
    <x v="1"/>
    <x v="0"/>
    <x v="12"/>
  </r>
  <r>
    <x v="52"/>
    <x v="0"/>
    <x v="5"/>
    <s v="Mobile"/>
    <n v="20"/>
    <n v="150000"/>
    <x v="3"/>
    <x v="8"/>
    <x v="2"/>
    <x v="10"/>
  </r>
  <r>
    <x v="27"/>
    <x v="0"/>
    <x v="1"/>
    <s v="Electronics"/>
    <n v="11"/>
    <n v="350000"/>
    <x v="4"/>
    <x v="9"/>
    <x v="1"/>
    <x v="51"/>
  </r>
  <r>
    <x v="44"/>
    <x v="1"/>
    <x v="0"/>
    <s v="Computers"/>
    <n v="14"/>
    <n v="250000"/>
    <x v="4"/>
    <x v="4"/>
    <x v="1"/>
    <x v="52"/>
  </r>
  <r>
    <x v="53"/>
    <x v="3"/>
    <x v="5"/>
    <s v="Mobile"/>
    <n v="3"/>
    <n v="150000"/>
    <x v="3"/>
    <x v="0"/>
    <x v="0"/>
    <x v="34"/>
  </r>
  <r>
    <x v="28"/>
    <x v="1"/>
    <x v="6"/>
    <s v="Audio"/>
    <n v="6"/>
    <n v="85000"/>
    <x v="2"/>
    <x v="8"/>
    <x v="0"/>
    <x v="11"/>
  </r>
  <r>
    <x v="36"/>
    <x v="3"/>
    <x v="1"/>
    <s v="Electronics"/>
    <n v="15"/>
    <n v="350000"/>
    <x v="4"/>
    <x v="9"/>
    <x v="1"/>
    <x v="25"/>
  </r>
  <r>
    <x v="54"/>
    <x v="2"/>
    <x v="5"/>
    <s v="Mobile"/>
    <n v="16"/>
    <n v="150000"/>
    <x v="1"/>
    <x v="4"/>
    <x v="2"/>
    <x v="53"/>
  </r>
  <r>
    <x v="55"/>
    <x v="1"/>
    <x v="4"/>
    <s v="Photography"/>
    <n v="8"/>
    <n v="175000"/>
    <x v="0"/>
    <x v="0"/>
    <x v="0"/>
    <x v="29"/>
  </r>
  <r>
    <x v="56"/>
    <x v="0"/>
    <x v="6"/>
    <s v="Audio"/>
    <n v="2"/>
    <n v="85000"/>
    <x v="4"/>
    <x v="7"/>
    <x v="0"/>
    <x v="14"/>
  </r>
  <r>
    <x v="52"/>
    <x v="2"/>
    <x v="0"/>
    <s v="Computers"/>
    <n v="13"/>
    <n v="250000"/>
    <x v="6"/>
    <x v="4"/>
    <x v="1"/>
    <x v="54"/>
  </r>
  <r>
    <x v="57"/>
    <x v="3"/>
    <x v="3"/>
    <s v="Peripherals"/>
    <n v="11"/>
    <n v="65000"/>
    <x v="4"/>
    <x v="9"/>
    <x v="1"/>
    <x v="15"/>
  </r>
  <r>
    <x v="28"/>
    <x v="0"/>
    <x v="1"/>
    <s v="Electronics"/>
    <n v="17"/>
    <n v="350000"/>
    <x v="4"/>
    <x v="6"/>
    <x v="2"/>
    <x v="55"/>
  </r>
  <r>
    <x v="44"/>
    <x v="3"/>
    <x v="3"/>
    <s v="Peripherals"/>
    <n v="18"/>
    <n v="65000"/>
    <x v="4"/>
    <x v="10"/>
    <x v="2"/>
    <x v="3"/>
  </r>
  <r>
    <x v="58"/>
    <x v="1"/>
    <x v="2"/>
    <s v="Mobile"/>
    <n v="13"/>
    <n v="180000"/>
    <x v="6"/>
    <x v="2"/>
    <x v="1"/>
    <x v="56"/>
  </r>
  <r>
    <x v="59"/>
    <x v="0"/>
    <x v="4"/>
    <s v="Photography"/>
    <n v="10"/>
    <n v="175000"/>
    <x v="3"/>
    <x v="3"/>
    <x v="0"/>
    <x v="16"/>
  </r>
  <r>
    <x v="60"/>
    <x v="1"/>
    <x v="6"/>
    <s v="Audio"/>
    <n v="5"/>
    <n v="85000"/>
    <x v="6"/>
    <x v="13"/>
    <x v="0"/>
    <x v="57"/>
  </r>
  <r>
    <x v="61"/>
    <x v="2"/>
    <x v="1"/>
    <s v="Electronics"/>
    <n v="17"/>
    <n v="350000"/>
    <x v="5"/>
    <x v="8"/>
    <x v="2"/>
    <x v="55"/>
  </r>
  <r>
    <x v="50"/>
    <x v="2"/>
    <x v="1"/>
    <s v="Electronics"/>
    <n v="13"/>
    <n v="350000"/>
    <x v="2"/>
    <x v="8"/>
    <x v="1"/>
    <x v="45"/>
  </r>
  <r>
    <x v="62"/>
    <x v="2"/>
    <x v="1"/>
    <s v="Electronics"/>
    <n v="8"/>
    <n v="350000"/>
    <x v="1"/>
    <x v="11"/>
    <x v="0"/>
    <x v="26"/>
  </r>
  <r>
    <x v="63"/>
    <x v="0"/>
    <x v="6"/>
    <s v="Audio"/>
    <n v="13"/>
    <n v="85000"/>
    <x v="3"/>
    <x v="11"/>
    <x v="1"/>
    <x v="24"/>
  </r>
  <r>
    <x v="64"/>
    <x v="1"/>
    <x v="5"/>
    <s v="Mobile"/>
    <n v="17"/>
    <n v="150000"/>
    <x v="2"/>
    <x v="1"/>
    <x v="2"/>
    <x v="58"/>
  </r>
  <r>
    <x v="18"/>
    <x v="0"/>
    <x v="3"/>
    <s v="Peripherals"/>
    <n v="19"/>
    <n v="65000"/>
    <x v="6"/>
    <x v="10"/>
    <x v="2"/>
    <x v="59"/>
  </r>
  <r>
    <x v="65"/>
    <x v="2"/>
    <x v="5"/>
    <s v="Mobile"/>
    <n v="1"/>
    <n v="150000"/>
    <x v="6"/>
    <x v="13"/>
    <x v="0"/>
    <x v="12"/>
  </r>
  <r>
    <x v="66"/>
    <x v="1"/>
    <x v="0"/>
    <s v="Computers"/>
    <n v="13"/>
    <n v="250000"/>
    <x v="4"/>
    <x v="11"/>
    <x v="1"/>
    <x v="54"/>
  </r>
  <r>
    <x v="67"/>
    <x v="1"/>
    <x v="3"/>
    <s v="Peripherals"/>
    <n v="18"/>
    <n v="65000"/>
    <x v="4"/>
    <x v="12"/>
    <x v="2"/>
    <x v="3"/>
  </r>
  <r>
    <x v="16"/>
    <x v="2"/>
    <x v="0"/>
    <s v="Computers"/>
    <n v="20"/>
    <n v="250000"/>
    <x v="3"/>
    <x v="6"/>
    <x v="2"/>
    <x v="19"/>
  </r>
  <r>
    <x v="68"/>
    <x v="1"/>
    <x v="2"/>
    <s v="Mobile"/>
    <n v="4"/>
    <n v="180000"/>
    <x v="3"/>
    <x v="1"/>
    <x v="0"/>
    <x v="60"/>
  </r>
  <r>
    <x v="1"/>
    <x v="0"/>
    <x v="5"/>
    <s v="Mobile"/>
    <n v="5"/>
    <n v="150000"/>
    <x v="4"/>
    <x v="5"/>
    <x v="0"/>
    <x v="36"/>
  </r>
  <r>
    <x v="69"/>
    <x v="3"/>
    <x v="0"/>
    <s v="Computers"/>
    <n v="11"/>
    <n v="250000"/>
    <x v="2"/>
    <x v="6"/>
    <x v="1"/>
    <x v="61"/>
  </r>
  <r>
    <x v="70"/>
    <x v="1"/>
    <x v="0"/>
    <s v="Computers"/>
    <n v="20"/>
    <n v="250000"/>
    <x v="1"/>
    <x v="10"/>
    <x v="2"/>
    <x v="19"/>
  </r>
  <r>
    <x v="71"/>
    <x v="3"/>
    <x v="6"/>
    <s v="Audio"/>
    <n v="7"/>
    <n v="85000"/>
    <x v="2"/>
    <x v="10"/>
    <x v="0"/>
    <x v="42"/>
  </r>
  <r>
    <x v="39"/>
    <x v="1"/>
    <x v="0"/>
    <s v="Computers"/>
    <n v="5"/>
    <n v="250000"/>
    <x v="5"/>
    <x v="12"/>
    <x v="0"/>
    <x v="50"/>
  </r>
  <r>
    <x v="72"/>
    <x v="1"/>
    <x v="4"/>
    <s v="Photography"/>
    <n v="19"/>
    <n v="175000"/>
    <x v="5"/>
    <x v="7"/>
    <x v="2"/>
    <x v="62"/>
  </r>
  <r>
    <x v="73"/>
    <x v="1"/>
    <x v="1"/>
    <s v="Electronics"/>
    <n v="14"/>
    <n v="350000"/>
    <x v="6"/>
    <x v="1"/>
    <x v="1"/>
    <x v="27"/>
  </r>
  <r>
    <x v="74"/>
    <x v="1"/>
    <x v="4"/>
    <s v="Photography"/>
    <n v="20"/>
    <n v="175000"/>
    <x v="5"/>
    <x v="0"/>
    <x v="2"/>
    <x v="52"/>
  </r>
  <r>
    <x v="71"/>
    <x v="0"/>
    <x v="6"/>
    <s v="Audio"/>
    <n v="18"/>
    <n v="85000"/>
    <x v="0"/>
    <x v="9"/>
    <x v="2"/>
    <x v="37"/>
  </r>
  <r>
    <x v="75"/>
    <x v="2"/>
    <x v="4"/>
    <s v="Photography"/>
    <n v="17"/>
    <n v="175000"/>
    <x v="1"/>
    <x v="8"/>
    <x v="2"/>
    <x v="63"/>
  </r>
  <r>
    <x v="51"/>
    <x v="0"/>
    <x v="0"/>
    <s v="Computers"/>
    <n v="20"/>
    <n v="250000"/>
    <x v="2"/>
    <x v="1"/>
    <x v="2"/>
    <x v="19"/>
  </r>
  <r>
    <x v="76"/>
    <x v="0"/>
    <x v="1"/>
    <s v="Electronics"/>
    <n v="20"/>
    <n v="350000"/>
    <x v="0"/>
    <x v="10"/>
    <x v="2"/>
    <x v="64"/>
  </r>
  <r>
    <x v="77"/>
    <x v="3"/>
    <x v="5"/>
    <s v="Mobile"/>
    <n v="18"/>
    <n v="150000"/>
    <x v="6"/>
    <x v="5"/>
    <x v="2"/>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5283BC-1E46-47D9-B0C7-4FE7D5E13E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24:B29"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axis="axisRow" showAll="0">
      <items count="5">
        <item x="1"/>
        <item x="2"/>
        <item x="0"/>
        <item x="3"/>
        <item t="default"/>
      </items>
    </pivotField>
    <pivotField showAll="0">
      <items count="8">
        <item x="4"/>
        <item x="0"/>
        <item x="3"/>
        <item x="2"/>
        <item x="6"/>
        <item x="5"/>
        <item x="1"/>
        <item t="default"/>
      </items>
    </pivotField>
    <pivotField showAll="0"/>
    <pivotField showAll="0"/>
    <pivotField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showAll="0"/>
    <pivotField dataField="1"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9" baseField="0" baseItem="0" numFmtId="43"/>
  </dataFields>
  <chartFormats count="6">
    <chartFormat chart="0" format="0" series="1">
      <pivotArea type="data" outline="0" fieldPosition="0">
        <references count="1">
          <reference field="4294967294" count="1" selected="0">
            <x v="0"/>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 count="1" selected="0">
            <x v="0"/>
          </reference>
        </references>
      </pivotArea>
    </chartFormat>
    <chartFormat chart="7" format="28">
      <pivotArea type="data" outline="0" fieldPosition="0">
        <references count="2">
          <reference field="4294967294" count="1" selected="0">
            <x v="0"/>
          </reference>
          <reference field="1" count="1" selected="0">
            <x v="1"/>
          </reference>
        </references>
      </pivotArea>
    </chartFormat>
    <chartFormat chart="7" format="29">
      <pivotArea type="data" outline="0" fieldPosition="0">
        <references count="2">
          <reference field="4294967294" count="1" selected="0">
            <x v="0"/>
          </reference>
          <reference field="1" count="1" selected="0">
            <x v="2"/>
          </reference>
        </references>
      </pivotArea>
    </chartFormat>
    <chartFormat chart="7" format="3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C20DC-E0CA-4E92-9D68-0B3DCCB3C3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ales Rep">
  <location ref="A13:B19"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showAll="0"/>
    <pivotField showAll="0"/>
    <pivotField axis="axisRow" showAll="0" measureFilter="1">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showAll="0"/>
    <pivotField dataField="1"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
    </i>
    <i>
      <x v="3"/>
    </i>
    <i>
      <x v="4"/>
    </i>
    <i>
      <x v="5"/>
    </i>
    <i>
      <x v="8"/>
    </i>
    <i t="grand">
      <x/>
    </i>
  </rowItems>
  <colItems count="1">
    <i/>
  </colItems>
  <dataFields count="1">
    <dataField name="Sum of Revenue" fld="9" baseField="0" baseItem="0" numFmtId="43"/>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4977E6-A99D-447C-A040-AE0BC599C5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B10"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showAll="0"/>
    <pivotField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showAll="0"/>
    <pivotField dataField="1"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7">
    <i>
      <x v="1"/>
    </i>
    <i>
      <x v="2"/>
    </i>
    <i>
      <x v="3"/>
    </i>
    <i>
      <x v="4"/>
    </i>
    <i>
      <x v="5"/>
    </i>
    <i>
      <x v="6"/>
    </i>
    <i t="grand">
      <x/>
    </i>
  </rowItems>
  <colItems count="1">
    <i/>
  </colItems>
  <dataFields count="1">
    <dataField name="Sum of Revenue" fld="9" baseField="0" baseItem="0" numFmtId="43"/>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AF939-F5A8-4414-AA7F-1A55781184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55:B63"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showAll="0">
      <items count="5">
        <item x="1"/>
        <item x="2"/>
        <item x="0"/>
        <item x="3"/>
        <item t="default"/>
      </items>
    </pivotField>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showAll="0">
      <items count="4">
        <item x="1"/>
        <item x="2"/>
        <item x="0"/>
        <item t="default"/>
      </items>
    </pivotField>
    <pivotField dataField="1"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6"/>
    </i>
    <i>
      <x v="1"/>
    </i>
    <i>
      <x v="5"/>
    </i>
    <i>
      <x/>
    </i>
    <i>
      <x v="3"/>
    </i>
    <i>
      <x v="2"/>
    </i>
    <i>
      <x v="4"/>
    </i>
    <i t="grand">
      <x/>
    </i>
  </rowItems>
  <colItems count="1">
    <i/>
  </colItems>
  <dataFields count="1">
    <dataField name="Sum of Revenue" fld="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DD6A8D-2804-48C1-AAB6-805C81DFF6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43:B51"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showAll="0">
      <items count="5">
        <item x="1"/>
        <item x="2"/>
        <item x="0"/>
        <item x="3"/>
        <item t="default"/>
      </items>
    </pivotField>
    <pivotField axis="axisRow" showAll="0">
      <items count="8">
        <item x="4"/>
        <item x="0"/>
        <item x="3"/>
        <item x="2"/>
        <item x="6"/>
        <item x="5"/>
        <item x="1"/>
        <item t="default"/>
      </items>
    </pivotField>
    <pivotField showAll="0"/>
    <pivotField showAll="0"/>
    <pivotField dataField="1"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showAll="0">
      <items count="4">
        <item x="1"/>
        <item x="2"/>
        <item x="0"/>
        <item t="default"/>
      </items>
    </pivotField>
    <pivotField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Unit Price" fld="5"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5175AB-87DC-4C56-BB0F-65802F2715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Units Category">
  <location ref="A34:B38" firstHeaderRow="1" firstDataRow="1" firstDataCol="1"/>
  <pivotFields count="11">
    <pivotField numFmtId="15" showAll="0">
      <items count="79">
        <item x="48"/>
        <item x="52"/>
        <item x="29"/>
        <item x="57"/>
        <item x="61"/>
        <item x="36"/>
        <item x="44"/>
        <item x="25"/>
        <item x="50"/>
        <item x="47"/>
        <item x="4"/>
        <item x="2"/>
        <item x="67"/>
        <item x="16"/>
        <item x="8"/>
        <item x="13"/>
        <item x="51"/>
        <item x="27"/>
        <item x="32"/>
        <item x="7"/>
        <item x="69"/>
        <item x="55"/>
        <item x="39"/>
        <item x="71"/>
        <item x="45"/>
        <item x="20"/>
        <item x="11"/>
        <item x="18"/>
        <item x="38"/>
        <item x="40"/>
        <item x="33"/>
        <item x="49"/>
        <item x="59"/>
        <item x="31"/>
        <item x="21"/>
        <item x="60"/>
        <item x="41"/>
        <item x="64"/>
        <item x="66"/>
        <item x="19"/>
        <item x="42"/>
        <item x="1"/>
        <item x="70"/>
        <item x="72"/>
        <item x="56"/>
        <item x="14"/>
        <item x="10"/>
        <item x="46"/>
        <item x="12"/>
        <item x="53"/>
        <item x="62"/>
        <item x="6"/>
        <item x="34"/>
        <item x="26"/>
        <item x="24"/>
        <item x="23"/>
        <item x="77"/>
        <item x="3"/>
        <item x="63"/>
        <item x="73"/>
        <item x="17"/>
        <item x="5"/>
        <item x="68"/>
        <item x="22"/>
        <item x="58"/>
        <item x="43"/>
        <item x="54"/>
        <item x="65"/>
        <item x="76"/>
        <item x="15"/>
        <item x="0"/>
        <item x="37"/>
        <item x="28"/>
        <item x="74"/>
        <item x="75"/>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dataField="1" showAll="0"/>
    <pivotField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axis="axisRow" showAll="0">
      <items count="4">
        <item x="1"/>
        <item x="2"/>
        <item x="0"/>
        <item t="default"/>
      </items>
    </pivotField>
    <pivotField numFmtId="43"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Units Sold" fld="4"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1E9D527D-F7D3-4E77-86F9-7100B5F41371}" sourceName="Revenue">
  <pivotTables>
    <pivotTable tabId="8" name="PivotTable5"/>
    <pivotTable tabId="8" name="PivotTable6"/>
    <pivotTable tabId="8" name="PivotTable7"/>
    <pivotTable tabId="8" name="PivotTable8"/>
    <pivotTable tabId="8" name="PivotTable9"/>
    <pivotTable tabId="8" name="PivotTable10"/>
  </pivotTables>
  <data>
    <tabular pivotCacheId="1950241663">
      <items count="65">
        <i x="7" s="1"/>
        <i x="12" s="1"/>
        <i x="14" s="1"/>
        <i x="31" s="1"/>
        <i x="44" s="1"/>
        <i x="20" s="1"/>
        <i x="57" s="1"/>
        <i x="34" s="1"/>
        <i x="11" s="1"/>
        <i x="17" s="1"/>
        <i x="42" s="1"/>
        <i x="9" s="1"/>
        <i x="33" s="1"/>
        <i x="15" s="1"/>
        <i x="60" s="1"/>
        <i x="36" s="1"/>
        <i x="30" s="1"/>
        <i x="43" s="1"/>
        <i x="49" s="1"/>
        <i x="18" s="1"/>
        <i x="4" s="1"/>
        <i x="23" s="1"/>
        <i x="6" s="1"/>
        <i x="24" s="1"/>
        <i x="3" s="1"/>
        <i x="21" s="1"/>
        <i x="59" s="1"/>
        <i x="50" s="1"/>
        <i x="38" s="1"/>
        <i x="29" s="1"/>
        <i x="35" s="1"/>
        <i x="48" s="1"/>
        <i x="37" s="1"/>
        <i x="47" s="1"/>
        <i x="40" s="1"/>
        <i x="16" s="1"/>
        <i x="28" s="1"/>
        <i x="0" s="1"/>
        <i x="1" s="1"/>
        <i x="56" s="1"/>
        <i x="53" s="1"/>
        <i x="8" s="1"/>
        <i x="2" s="1"/>
        <i x="58" s="1"/>
        <i x="39" s="1"/>
        <i x="61" s="1"/>
        <i x="26" s="1"/>
        <i x="41" s="1"/>
        <i x="63" s="1"/>
        <i x="10" s="1"/>
        <i x="32" s="1"/>
        <i x="54" s="1"/>
        <i x="62" s="1"/>
        <i x="5" s="1"/>
        <i x="52" s="1"/>
        <i x="51" s="1"/>
        <i x="45" s="1"/>
        <i x="22" s="1"/>
        <i x="27" s="1"/>
        <i x="19" s="1"/>
        <i x="25" s="1"/>
        <i x="55" s="1"/>
        <i x="13" s="1"/>
        <i x="46" s="1"/>
        <i x="6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4FFA7E-5233-460F-9365-C253BA3F6260}" sourceName="Region">
  <pivotTables>
    <pivotTable tabId="8" name="PivotTable5"/>
    <pivotTable tabId="8" name="PivotTable6"/>
    <pivotTable tabId="8" name="PivotTable7"/>
    <pivotTable tabId="8" name="PivotTable8"/>
    <pivotTable tabId="8" name="PivotTable9"/>
    <pivotTable tabId="8" name="PivotTable10"/>
  </pivotTables>
  <data>
    <tabular pivotCacheId="1950241663">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F7FFDE3-AFDD-4B14-ACE1-568439B70794}" sourceName="Months (Date)">
  <pivotTables>
    <pivotTable tabId="8" name="PivotTable5"/>
    <pivotTable tabId="8" name="PivotTable6"/>
    <pivotTable tabId="8" name="PivotTable7"/>
    <pivotTable tabId="8" name="PivotTable8"/>
    <pivotTable tabId="8" name="PivotTable9"/>
    <pivotTable tabId="8" name="PivotTable10"/>
  </pivotTables>
  <data>
    <tabular pivotCacheId="1950241663">
      <items count="14">
        <i x="1" s="1"/>
        <i x="2" s="1"/>
        <i x="3" s="1"/>
        <i x="4" s="1"/>
        <i x="5" s="1"/>
        <i x="6" s="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815405-88D5-4062-AE93-426886C65821}" sourceName="Product">
  <pivotTables>
    <pivotTable tabId="8" name="PivotTable5"/>
    <pivotTable tabId="8" name="PivotTable6"/>
    <pivotTable tabId="8" name="PivotTable7"/>
    <pivotTable tabId="8" name="PivotTable8"/>
    <pivotTable tabId="8" name="PivotTable9"/>
    <pivotTable tabId="8" name="PivotTable10"/>
  </pivotTables>
  <data>
    <tabular pivotCacheId="1950241663">
      <items count="7">
        <i x="4" s="1"/>
        <i x="0" s="1"/>
        <i x="3" s="1"/>
        <i x="2" s="1"/>
        <i x="6"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974B246F-B1B6-4588-B8AA-B319C9C52F61}" cache="Slicer_Revenue" caption="Revenue" rowHeight="241300"/>
  <slicer name="Region" xr10:uid="{4D5D5E68-DC70-4220-91EF-D69845058556}" cache="Slicer_Region" caption="Region" rowHeight="241300"/>
  <slicer name="Months (Date)" xr10:uid="{8F39C861-5A16-40D1-A34D-753E5394835D}" cache="Slicer_Months__Date" caption="Months (Date)" startItem="5" rowHeight="241300"/>
  <slicer name="Product" xr10:uid="{C30F087A-B0A9-4DEC-A287-F987BF8B82BB}"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199DE2-956E-4899-833F-F62E571D2771}" name="SalesData" displayName="SalesData" ref="A1:J101" totalsRowShown="0" headerRowDxfId="13" headerRowBorderDxfId="12" tableBorderDxfId="11" totalsRowBorderDxfId="10">
  <autoFilter ref="A1:J101" xr:uid="{25199DE2-956E-4899-833F-F62E571D2771}"/>
  <tableColumns count="10">
    <tableColumn id="10" xr3:uid="{7BF9D3E0-F567-478E-A49E-AB1951AECD92}" name="Date" dataDxfId="9"/>
    <tableColumn id="2" xr3:uid="{ADB7D281-461E-4BBB-A81C-7F11062729D2}" name="Region" dataDxfId="8"/>
    <tableColumn id="12" xr3:uid="{70662507-4249-450A-9586-66981C5DFDC7}" name="Product" dataDxfId="7"/>
    <tableColumn id="13" xr3:uid="{0EDEE7AD-B9F1-46D3-85CC-B90273B86D3B}" name="Category" dataDxfId="6"/>
    <tableColumn id="5" xr3:uid="{9E37C0A6-1B59-45CC-ADC6-A14C05301D6E}" name="Units Sold" dataDxfId="5"/>
    <tableColumn id="6" xr3:uid="{D2E258DD-124E-49F9-A9D2-E5837C418CB5}" name="Unit Price" dataDxfId="4"/>
    <tableColumn id="14" xr3:uid="{C293F5A5-0CAA-4731-8A9B-CA3626DD5768}" name="Sales Rep" dataDxfId="3"/>
    <tableColumn id="15" xr3:uid="{AE87AE92-9CC2-4BCC-81AD-EA16C8AFDF72}" name="Customer" dataDxfId="2"/>
    <tableColumn id="16" xr3:uid="{4E0D48DE-4B68-48DA-A6BC-FF6E87D43188}" name="Units Category" dataDxfId="1">
      <calculatedColumnFormula>IF([1]!SalesData[[#This Row],[Units Sold]]&lt;= 10,"Low Units",IF([1]!SalesData[[#This Row],[Units Sold]]&lt;= 15,"Average Units","High Units"))</calculatedColumnFormula>
    </tableColumn>
    <tableColumn id="17" xr3:uid="{B6060966-D2C3-41A4-BBE2-008071A777F9}" name="Revenue" dataDxfId="0">
      <calculatedColumnFormula>[1]!SalesData[[#This Row],[Units Sold]]*[1]!SalesData[[#This Row],[Unit Price]]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21"/>
  <sheetViews>
    <sheetView workbookViewId="0"/>
  </sheetViews>
  <sheetFormatPr defaultColWidth="0" defaultRowHeight="14.5" zeroHeight="1" x14ac:dyDescent="0.35"/>
  <cols>
    <col min="1" max="1" width="3.453125" style="4" customWidth="1"/>
    <col min="2" max="15" width="8.7265625" style="4" customWidth="1"/>
    <col min="16" max="16384" width="8.7265625" style="4" hidden="1"/>
  </cols>
  <sheetData>
    <row r="1" spans="2:14" x14ac:dyDescent="0.35"/>
    <row r="2" spans="2:14" ht="34" thickBot="1" x14ac:dyDescent="0.8">
      <c r="B2" s="5" t="s">
        <v>468</v>
      </c>
      <c r="C2" s="6"/>
      <c r="D2" s="6"/>
      <c r="E2" s="6"/>
      <c r="F2" s="6"/>
      <c r="G2" s="6"/>
      <c r="H2" s="6"/>
      <c r="I2" s="6"/>
      <c r="J2" s="6"/>
      <c r="K2" s="6"/>
      <c r="L2" s="6"/>
      <c r="M2" s="6"/>
      <c r="N2" s="6"/>
    </row>
    <row r="3" spans="2:14" x14ac:dyDescent="0.35"/>
    <row r="4" spans="2:14" x14ac:dyDescent="0.35"/>
    <row r="5" spans="2:14" x14ac:dyDescent="0.35"/>
    <row r="6" spans="2:14" x14ac:dyDescent="0.35"/>
    <row r="7" spans="2:14" x14ac:dyDescent="0.35"/>
    <row r="8" spans="2:14" x14ac:dyDescent="0.35"/>
    <row r="9" spans="2:14" x14ac:dyDescent="0.35"/>
    <row r="10" spans="2:14" x14ac:dyDescent="0.35"/>
    <row r="11" spans="2:14" x14ac:dyDescent="0.35"/>
    <row r="12" spans="2:14" x14ac:dyDescent="0.35"/>
    <row r="13" spans="2:14" x14ac:dyDescent="0.35"/>
    <row r="14" spans="2:14" x14ac:dyDescent="0.35"/>
    <row r="15" spans="2:14" x14ac:dyDescent="0.35"/>
    <row r="17" s="4" customFormat="1" hidden="1" x14ac:dyDescent="0.35"/>
    <row r="18" s="4" customFormat="1" hidden="1" x14ac:dyDescent="0.35"/>
    <row r="19" s="4" customFormat="1" hidden="1" x14ac:dyDescent="0.35"/>
    <row r="20" s="4" customFormat="1" hidden="1" x14ac:dyDescent="0.35"/>
    <row r="21" s="4" customFormat="1" hidden="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FC25-0380-4F14-B162-2DD7D92AF82A}">
  <dimension ref="A1:H101"/>
  <sheetViews>
    <sheetView workbookViewId="0">
      <pane ySplit="1" topLeftCell="A2" activePane="bottomLeft" state="frozen"/>
      <selection pane="bottomLeft" activeCell="E1" sqref="E1:E1048576"/>
    </sheetView>
  </sheetViews>
  <sheetFormatPr defaultRowHeight="14.5" x14ac:dyDescent="0.35"/>
  <cols>
    <col min="1" max="9" width="18.90625" customWidth="1"/>
  </cols>
  <sheetData>
    <row r="1" spans="1:8" x14ac:dyDescent="0.35">
      <c r="A1" s="2" t="s">
        <v>0</v>
      </c>
      <c r="B1" s="2" t="s">
        <v>1</v>
      </c>
      <c r="C1" s="2" t="s">
        <v>2</v>
      </c>
      <c r="D1" s="2" t="s">
        <v>3</v>
      </c>
      <c r="E1" s="2" t="s">
        <v>4</v>
      </c>
      <c r="F1" s="2" t="s">
        <v>5</v>
      </c>
      <c r="G1" s="2" t="s">
        <v>6</v>
      </c>
      <c r="H1" s="2" t="s">
        <v>7</v>
      </c>
    </row>
    <row r="2" spans="1:8" x14ac:dyDescent="0.35">
      <c r="A2" s="3">
        <v>45821</v>
      </c>
      <c r="B2" s="1" t="s">
        <v>8</v>
      </c>
      <c r="C2" s="1" t="s">
        <v>9</v>
      </c>
      <c r="D2" s="1" t="s">
        <v>10</v>
      </c>
      <c r="E2" s="1">
        <v>8</v>
      </c>
      <c r="F2" s="1">
        <v>2500000</v>
      </c>
      <c r="G2" s="1" t="s">
        <v>11</v>
      </c>
      <c r="H2" s="1" t="s">
        <v>12</v>
      </c>
    </row>
    <row r="3" spans="1:8" x14ac:dyDescent="0.35">
      <c r="A3" s="3">
        <v>45755</v>
      </c>
      <c r="B3" s="1" t="s">
        <v>13</v>
      </c>
      <c r="C3" s="1" t="s">
        <v>14</v>
      </c>
      <c r="D3" s="1" t="s">
        <v>15</v>
      </c>
      <c r="E3" s="1">
        <v>6</v>
      </c>
      <c r="F3" s="1">
        <v>350000</v>
      </c>
      <c r="G3" s="1" t="s">
        <v>16</v>
      </c>
      <c r="H3" s="1" t="s">
        <v>17</v>
      </c>
    </row>
    <row r="4" spans="1:8" x14ac:dyDescent="0.35">
      <c r="A4" s="3">
        <v>45686</v>
      </c>
      <c r="B4" s="1" t="s">
        <v>18</v>
      </c>
      <c r="C4" s="1" t="s">
        <v>19</v>
      </c>
      <c r="D4" s="1" t="s">
        <v>20</v>
      </c>
      <c r="E4" s="1">
        <v>14</v>
      </c>
      <c r="F4" s="1">
        <v>180000</v>
      </c>
      <c r="G4" s="1" t="s">
        <v>21</v>
      </c>
      <c r="H4" s="1" t="s">
        <v>22</v>
      </c>
    </row>
    <row r="5" spans="1:8" x14ac:dyDescent="0.35">
      <c r="A5" s="1" t="s">
        <v>23</v>
      </c>
      <c r="B5" s="1" t="s">
        <v>24</v>
      </c>
      <c r="C5" s="1" t="s">
        <v>25</v>
      </c>
      <c r="D5" s="1" t="s">
        <v>26</v>
      </c>
      <c r="E5" s="1">
        <v>18</v>
      </c>
      <c r="F5" s="1">
        <v>65000</v>
      </c>
      <c r="G5" s="1" t="s">
        <v>27</v>
      </c>
      <c r="H5" s="1" t="s">
        <v>28</v>
      </c>
    </row>
    <row r="6" spans="1:8" x14ac:dyDescent="0.35">
      <c r="A6" s="1" t="s">
        <v>29</v>
      </c>
      <c r="B6" s="1" t="s">
        <v>30</v>
      </c>
      <c r="C6" s="1" t="s">
        <v>31</v>
      </c>
      <c r="D6" s="1" t="s">
        <v>32</v>
      </c>
      <c r="E6" s="1">
        <v>5</v>
      </c>
      <c r="F6" s="1">
        <v>180000</v>
      </c>
      <c r="G6" s="1" t="s">
        <v>33</v>
      </c>
      <c r="H6" s="1" t="s">
        <v>34</v>
      </c>
    </row>
    <row r="7" spans="1:8" x14ac:dyDescent="0.35">
      <c r="A7" s="1" t="s">
        <v>35</v>
      </c>
      <c r="B7" s="1" t="s">
        <v>36</v>
      </c>
      <c r="C7" s="1" t="s">
        <v>31</v>
      </c>
      <c r="D7" s="1" t="s">
        <v>37</v>
      </c>
      <c r="E7" s="1">
        <v>19</v>
      </c>
      <c r="F7" s="1">
        <v>157427</v>
      </c>
      <c r="G7" s="1" t="s">
        <v>38</v>
      </c>
      <c r="H7" s="1" t="s">
        <v>39</v>
      </c>
    </row>
    <row r="8" spans="1:8" x14ac:dyDescent="0.35">
      <c r="A8" s="1" t="s">
        <v>40</v>
      </c>
      <c r="B8" s="1" t="s">
        <v>41</v>
      </c>
      <c r="C8" s="1" t="s">
        <v>42</v>
      </c>
      <c r="D8" s="1" t="s">
        <v>43</v>
      </c>
      <c r="E8" s="1">
        <v>3</v>
      </c>
      <c r="F8" s="1">
        <v>350000</v>
      </c>
      <c r="G8" s="1" t="s">
        <v>44</v>
      </c>
      <c r="H8" s="1" t="s">
        <v>45</v>
      </c>
    </row>
    <row r="9" spans="1:8" x14ac:dyDescent="0.35">
      <c r="A9" s="1" t="s">
        <v>46</v>
      </c>
      <c r="B9" s="1" t="s">
        <v>47</v>
      </c>
      <c r="C9" s="1" t="s">
        <v>48</v>
      </c>
      <c r="D9" s="1" t="s">
        <v>49</v>
      </c>
      <c r="E9" s="1">
        <v>2</v>
      </c>
      <c r="F9" s="1">
        <v>65000</v>
      </c>
      <c r="G9" s="1" t="s">
        <v>50</v>
      </c>
      <c r="H9" s="1" t="s">
        <v>51</v>
      </c>
    </row>
    <row r="10" spans="1:8" x14ac:dyDescent="0.35">
      <c r="A10" s="1" t="s">
        <v>52</v>
      </c>
      <c r="B10" s="1" t="s">
        <v>53</v>
      </c>
      <c r="C10" s="1" t="s">
        <v>54</v>
      </c>
      <c r="D10" s="1" t="s">
        <v>55</v>
      </c>
      <c r="E10" s="1">
        <v>14</v>
      </c>
      <c r="F10" s="1">
        <v>175000</v>
      </c>
      <c r="G10" s="1" t="s">
        <v>56</v>
      </c>
      <c r="H10" s="1" t="s">
        <v>57</v>
      </c>
    </row>
    <row r="11" spans="1:8" x14ac:dyDescent="0.35">
      <c r="A11" s="1" t="s">
        <v>58</v>
      </c>
      <c r="B11" s="1" t="s">
        <v>59</v>
      </c>
      <c r="C11" s="1" t="s">
        <v>60</v>
      </c>
      <c r="D11" s="1" t="s">
        <v>61</v>
      </c>
      <c r="E11" s="1">
        <v>4</v>
      </c>
      <c r="F11" s="1">
        <v>150000</v>
      </c>
      <c r="G11" s="1" t="s">
        <v>62</v>
      </c>
      <c r="H11" s="1" t="s">
        <v>63</v>
      </c>
    </row>
    <row r="12" spans="1:8" x14ac:dyDescent="0.35">
      <c r="A12" s="1" t="s">
        <v>64</v>
      </c>
      <c r="B12" s="1" t="s">
        <v>65</v>
      </c>
      <c r="C12" s="1" t="s">
        <v>66</v>
      </c>
      <c r="D12" s="1" t="s">
        <v>67</v>
      </c>
      <c r="E12" s="1">
        <v>20</v>
      </c>
      <c r="F12" s="1">
        <v>150000</v>
      </c>
      <c r="G12" s="1" t="s">
        <v>68</v>
      </c>
      <c r="H12" s="1" t="s">
        <v>69</v>
      </c>
    </row>
    <row r="13" spans="1:8" x14ac:dyDescent="0.35">
      <c r="A13" s="1" t="s">
        <v>70</v>
      </c>
      <c r="B13" s="1" t="s">
        <v>71</v>
      </c>
      <c r="C13" s="1" t="s">
        <v>72</v>
      </c>
      <c r="D13" s="1" t="s">
        <v>73</v>
      </c>
      <c r="E13" s="1">
        <v>6</v>
      </c>
      <c r="F13" s="1">
        <v>85000</v>
      </c>
      <c r="G13" s="1" t="s">
        <v>74</v>
      </c>
      <c r="H13" s="1" t="s">
        <v>75</v>
      </c>
    </row>
    <row r="14" spans="1:8" x14ac:dyDescent="0.35">
      <c r="A14" s="1" t="s">
        <v>76</v>
      </c>
      <c r="B14" s="1" t="s">
        <v>41</v>
      </c>
      <c r="C14" s="1" t="s">
        <v>77</v>
      </c>
      <c r="D14" s="1" t="s">
        <v>78</v>
      </c>
      <c r="E14" s="1">
        <v>1</v>
      </c>
      <c r="F14" s="1">
        <v>150000</v>
      </c>
      <c r="G14" s="1" t="s">
        <v>79</v>
      </c>
      <c r="H14" s="1" t="s">
        <v>80</v>
      </c>
    </row>
    <row r="15" spans="1:8" x14ac:dyDescent="0.35">
      <c r="A15" s="1" t="s">
        <v>81</v>
      </c>
      <c r="B15" s="1" t="s">
        <v>82</v>
      </c>
      <c r="C15" s="1" t="s">
        <v>83</v>
      </c>
      <c r="D15" s="1" t="s">
        <v>15</v>
      </c>
      <c r="E15" s="1">
        <v>18</v>
      </c>
      <c r="F15" s="1">
        <v>35000</v>
      </c>
      <c r="G15" s="1" t="s">
        <v>84</v>
      </c>
      <c r="H15" s="1" t="s">
        <v>85</v>
      </c>
    </row>
    <row r="16" spans="1:8" x14ac:dyDescent="0.35">
      <c r="A16" s="1" t="s">
        <v>86</v>
      </c>
      <c r="B16" s="1" t="s">
        <v>87</v>
      </c>
      <c r="C16" s="1" t="s">
        <v>88</v>
      </c>
      <c r="D16" s="1" t="s">
        <v>89</v>
      </c>
      <c r="E16" s="1">
        <v>2</v>
      </c>
      <c r="F16" s="1">
        <v>85000</v>
      </c>
      <c r="G16" s="1" t="s">
        <v>90</v>
      </c>
      <c r="H16" s="1" t="s">
        <v>91</v>
      </c>
    </row>
    <row r="17" spans="1:8" x14ac:dyDescent="0.35">
      <c r="A17" s="1" t="s">
        <v>92</v>
      </c>
      <c r="B17" s="1" t="s">
        <v>93</v>
      </c>
      <c r="C17" s="1" t="s">
        <v>94</v>
      </c>
      <c r="D17" s="1" t="s">
        <v>95</v>
      </c>
      <c r="E17" s="1">
        <v>11</v>
      </c>
      <c r="F17" s="1">
        <v>62035</v>
      </c>
      <c r="G17" s="1" t="s">
        <v>96</v>
      </c>
      <c r="H17" s="1" t="s">
        <v>97</v>
      </c>
    </row>
    <row r="18" spans="1:8" x14ac:dyDescent="0.35">
      <c r="A18" s="1" t="s">
        <v>98</v>
      </c>
      <c r="B18" s="1" t="s">
        <v>99</v>
      </c>
      <c r="C18" s="1" t="s">
        <v>100</v>
      </c>
      <c r="D18" s="1" t="s">
        <v>101</v>
      </c>
      <c r="E18" s="1">
        <v>10</v>
      </c>
      <c r="F18" s="1">
        <v>175000</v>
      </c>
      <c r="G18" s="1" t="s">
        <v>102</v>
      </c>
      <c r="H18" s="1" t="s">
        <v>75</v>
      </c>
    </row>
    <row r="19" spans="1:8" x14ac:dyDescent="0.35">
      <c r="A19" s="1" t="s">
        <v>103</v>
      </c>
      <c r="B19" s="1" t="s">
        <v>104</v>
      </c>
      <c r="C19" s="1" t="s">
        <v>105</v>
      </c>
      <c r="D19" s="1" t="s">
        <v>37</v>
      </c>
      <c r="E19" s="1">
        <v>4</v>
      </c>
      <c r="F19" s="1">
        <v>150000</v>
      </c>
      <c r="G19" s="1" t="s">
        <v>106</v>
      </c>
      <c r="H19" s="1" t="s">
        <v>107</v>
      </c>
    </row>
    <row r="20" spans="1:8" x14ac:dyDescent="0.35">
      <c r="A20" s="1" t="s">
        <v>108</v>
      </c>
      <c r="B20" s="1" t="s">
        <v>59</v>
      </c>
      <c r="C20" s="1" t="s">
        <v>109</v>
      </c>
      <c r="D20" s="1" t="s">
        <v>110</v>
      </c>
      <c r="E20" s="1">
        <v>3</v>
      </c>
      <c r="F20" s="1">
        <v>175000</v>
      </c>
      <c r="G20" s="1" t="s">
        <v>111</v>
      </c>
      <c r="H20" s="1" t="s">
        <v>112</v>
      </c>
    </row>
    <row r="21" spans="1:8" x14ac:dyDescent="0.35">
      <c r="A21" s="1" t="s">
        <v>113</v>
      </c>
      <c r="B21" s="1" t="s">
        <v>114</v>
      </c>
      <c r="C21" s="1" t="s">
        <v>115</v>
      </c>
      <c r="D21" s="1" t="s">
        <v>110</v>
      </c>
      <c r="E21" s="1">
        <v>5</v>
      </c>
      <c r="F21" s="1">
        <v>175000</v>
      </c>
      <c r="G21" s="1" t="s">
        <v>116</v>
      </c>
      <c r="H21" s="1" t="s">
        <v>112</v>
      </c>
    </row>
    <row r="22" spans="1:8" x14ac:dyDescent="0.35">
      <c r="A22" s="1" t="s">
        <v>117</v>
      </c>
      <c r="B22" s="1" t="s">
        <v>118</v>
      </c>
      <c r="C22" s="1" t="s">
        <v>119</v>
      </c>
      <c r="D22" s="1" t="s">
        <v>120</v>
      </c>
      <c r="E22" s="1">
        <v>20</v>
      </c>
      <c r="F22" s="1">
        <v>250000</v>
      </c>
      <c r="G22" s="1" t="s">
        <v>121</v>
      </c>
      <c r="H22" s="1" t="s">
        <v>39</v>
      </c>
    </row>
    <row r="23" spans="1:8" x14ac:dyDescent="0.35">
      <c r="A23" s="1" t="s">
        <v>122</v>
      </c>
      <c r="B23" s="1" t="s">
        <v>99</v>
      </c>
      <c r="C23" s="1" t="s">
        <v>123</v>
      </c>
      <c r="D23" s="1" t="s">
        <v>124</v>
      </c>
      <c r="E23" s="1">
        <v>2</v>
      </c>
      <c r="F23" s="1">
        <v>175000</v>
      </c>
      <c r="G23" s="1" t="s">
        <v>125</v>
      </c>
      <c r="H23" s="1" t="s">
        <v>126</v>
      </c>
    </row>
    <row r="24" spans="1:8" x14ac:dyDescent="0.35">
      <c r="A24" s="1" t="s">
        <v>127</v>
      </c>
      <c r="B24" s="1" t="s">
        <v>128</v>
      </c>
      <c r="C24" s="1" t="s">
        <v>129</v>
      </c>
      <c r="D24" s="1" t="s">
        <v>130</v>
      </c>
      <c r="E24" s="1">
        <v>20</v>
      </c>
      <c r="F24" s="1">
        <v>150000</v>
      </c>
      <c r="G24" s="1" t="s">
        <v>102</v>
      </c>
      <c r="H24" s="1" t="s">
        <v>131</v>
      </c>
    </row>
    <row r="25" spans="1:8" x14ac:dyDescent="0.35">
      <c r="A25" s="1" t="s">
        <v>132</v>
      </c>
      <c r="B25" s="1" t="s">
        <v>133</v>
      </c>
      <c r="C25" s="1" t="s">
        <v>134</v>
      </c>
      <c r="D25" s="1" t="s">
        <v>135</v>
      </c>
      <c r="E25" s="1">
        <v>8</v>
      </c>
      <c r="F25" s="1">
        <v>150000</v>
      </c>
      <c r="G25" s="1" t="s">
        <v>136</v>
      </c>
      <c r="H25" s="1" t="s">
        <v>137</v>
      </c>
    </row>
    <row r="26" spans="1:8" x14ac:dyDescent="0.35">
      <c r="A26" s="1" t="s">
        <v>138</v>
      </c>
      <c r="B26" s="1" t="s">
        <v>139</v>
      </c>
      <c r="C26" s="1" t="s">
        <v>140</v>
      </c>
      <c r="D26" s="1" t="s">
        <v>141</v>
      </c>
      <c r="E26" s="1">
        <v>19</v>
      </c>
      <c r="F26" s="1">
        <v>250000</v>
      </c>
      <c r="G26" s="1" t="s">
        <v>142</v>
      </c>
      <c r="H26" s="1" t="s">
        <v>143</v>
      </c>
    </row>
    <row r="27" spans="1:8" x14ac:dyDescent="0.35">
      <c r="A27" s="1" t="s">
        <v>144</v>
      </c>
      <c r="B27" s="1" t="s">
        <v>145</v>
      </c>
      <c r="C27" s="1" t="s">
        <v>146</v>
      </c>
      <c r="D27" s="1" t="s">
        <v>147</v>
      </c>
      <c r="E27" s="1">
        <v>12</v>
      </c>
      <c r="F27" s="1">
        <v>175000</v>
      </c>
      <c r="G27" s="1" t="s">
        <v>148</v>
      </c>
      <c r="H27" s="1" t="s">
        <v>75</v>
      </c>
    </row>
    <row r="28" spans="1:8" x14ac:dyDescent="0.35">
      <c r="A28" s="1" t="s">
        <v>149</v>
      </c>
      <c r="B28" s="1" t="s">
        <v>150</v>
      </c>
      <c r="C28" s="1" t="s">
        <v>151</v>
      </c>
      <c r="D28" s="1" t="s">
        <v>152</v>
      </c>
      <c r="E28" s="1">
        <v>11</v>
      </c>
      <c r="F28" s="1">
        <v>85000</v>
      </c>
      <c r="G28" s="1" t="s">
        <v>153</v>
      </c>
      <c r="H28" s="1" t="s">
        <v>154</v>
      </c>
    </row>
    <row r="29" spans="1:8" x14ac:dyDescent="0.35">
      <c r="A29" s="1" t="s">
        <v>155</v>
      </c>
      <c r="B29" s="1" t="s">
        <v>133</v>
      </c>
      <c r="C29" s="1" t="s">
        <v>156</v>
      </c>
      <c r="D29" s="1" t="s">
        <v>157</v>
      </c>
      <c r="E29" s="1">
        <v>17</v>
      </c>
      <c r="F29" s="1">
        <v>65000</v>
      </c>
      <c r="G29" s="1" t="s">
        <v>116</v>
      </c>
      <c r="H29" s="1" t="s">
        <v>158</v>
      </c>
    </row>
    <row r="30" spans="1:8" x14ac:dyDescent="0.35">
      <c r="A30" s="1" t="s">
        <v>159</v>
      </c>
      <c r="B30" s="1" t="s">
        <v>160</v>
      </c>
      <c r="C30" s="1" t="s">
        <v>161</v>
      </c>
      <c r="D30" s="1" t="s">
        <v>162</v>
      </c>
      <c r="E30" s="1">
        <v>15</v>
      </c>
      <c r="F30" s="1">
        <v>350000</v>
      </c>
      <c r="G30" s="1" t="s">
        <v>471</v>
      </c>
      <c r="H30" s="1" t="s">
        <v>163</v>
      </c>
    </row>
    <row r="31" spans="1:8" x14ac:dyDescent="0.35">
      <c r="A31" s="1" t="s">
        <v>164</v>
      </c>
      <c r="B31" s="1" t="s">
        <v>47</v>
      </c>
      <c r="C31" s="1" t="s">
        <v>14</v>
      </c>
      <c r="D31" s="1" t="s">
        <v>165</v>
      </c>
      <c r="E31" s="1">
        <v>8</v>
      </c>
      <c r="F31" s="1">
        <v>350000</v>
      </c>
      <c r="G31" s="1" t="s">
        <v>166</v>
      </c>
      <c r="H31" s="1" t="s">
        <v>167</v>
      </c>
    </row>
    <row r="32" spans="1:8" x14ac:dyDescent="0.35">
      <c r="A32" s="1" t="s">
        <v>168</v>
      </c>
      <c r="B32" s="1" t="s">
        <v>169</v>
      </c>
      <c r="C32" s="1" t="s">
        <v>14</v>
      </c>
      <c r="D32" s="1" t="s">
        <v>170</v>
      </c>
      <c r="E32" s="1">
        <v>14</v>
      </c>
      <c r="F32" s="1">
        <v>350000</v>
      </c>
      <c r="G32" s="1" t="s">
        <v>84</v>
      </c>
      <c r="H32" s="1" t="s">
        <v>171</v>
      </c>
    </row>
    <row r="33" spans="1:8" x14ac:dyDescent="0.35">
      <c r="A33" s="1" t="s">
        <v>172</v>
      </c>
      <c r="B33" s="1" t="s">
        <v>99</v>
      </c>
      <c r="C33" s="1" t="s">
        <v>173</v>
      </c>
      <c r="D33" s="1" t="s">
        <v>174</v>
      </c>
      <c r="E33" s="1">
        <v>12</v>
      </c>
      <c r="F33" s="1">
        <v>150000</v>
      </c>
      <c r="G33" s="1" t="s">
        <v>21</v>
      </c>
      <c r="H33" s="1" t="s">
        <v>175</v>
      </c>
    </row>
    <row r="34" spans="1:8" x14ac:dyDescent="0.35">
      <c r="A34" s="1" t="s">
        <v>176</v>
      </c>
      <c r="B34" s="1" t="s">
        <v>177</v>
      </c>
      <c r="C34" s="1" t="s">
        <v>115</v>
      </c>
      <c r="D34" s="1" t="s">
        <v>178</v>
      </c>
      <c r="E34" s="1">
        <v>8</v>
      </c>
      <c r="F34" s="1">
        <v>175000</v>
      </c>
      <c r="G34" s="1" t="s">
        <v>179</v>
      </c>
      <c r="H34" s="1" t="s">
        <v>180</v>
      </c>
    </row>
    <row r="35" spans="1:8" x14ac:dyDescent="0.35">
      <c r="A35" s="1" t="s">
        <v>181</v>
      </c>
      <c r="B35" s="1" t="s">
        <v>8</v>
      </c>
      <c r="C35" s="1" t="s">
        <v>129</v>
      </c>
      <c r="D35" s="1" t="s">
        <v>182</v>
      </c>
      <c r="E35" s="1">
        <v>6</v>
      </c>
      <c r="F35" s="1">
        <v>150000</v>
      </c>
      <c r="G35" s="1" t="s">
        <v>183</v>
      </c>
      <c r="H35" s="1" t="s">
        <v>184</v>
      </c>
    </row>
    <row r="36" spans="1:8" x14ac:dyDescent="0.35">
      <c r="A36" s="1" t="s">
        <v>185</v>
      </c>
      <c r="B36" s="1" t="s">
        <v>59</v>
      </c>
      <c r="C36" s="1" t="s">
        <v>186</v>
      </c>
      <c r="D36" s="1" t="s">
        <v>120</v>
      </c>
      <c r="E36" s="1">
        <v>20</v>
      </c>
      <c r="F36" s="1">
        <v>2500000</v>
      </c>
      <c r="G36" s="1" t="s">
        <v>187</v>
      </c>
      <c r="H36" s="1" t="s">
        <v>188</v>
      </c>
    </row>
    <row r="37" spans="1:8" x14ac:dyDescent="0.35">
      <c r="A37" s="1" t="s">
        <v>189</v>
      </c>
      <c r="B37" s="1" t="s">
        <v>24</v>
      </c>
      <c r="C37" s="1" t="s">
        <v>190</v>
      </c>
      <c r="D37" s="1" t="s">
        <v>191</v>
      </c>
      <c r="E37" s="1">
        <v>12</v>
      </c>
      <c r="F37" s="1">
        <v>65000</v>
      </c>
      <c r="G37" s="1" t="s">
        <v>50</v>
      </c>
      <c r="H37" s="1" t="s">
        <v>192</v>
      </c>
    </row>
    <row r="38" spans="1:8" x14ac:dyDescent="0.35">
      <c r="A38" s="1" t="s">
        <v>193</v>
      </c>
      <c r="B38" s="1" t="s">
        <v>160</v>
      </c>
      <c r="C38" s="1" t="s">
        <v>194</v>
      </c>
      <c r="D38" s="1" t="s">
        <v>195</v>
      </c>
      <c r="E38" s="1">
        <v>4</v>
      </c>
      <c r="F38" s="1">
        <v>73740</v>
      </c>
      <c r="G38" s="1" t="s">
        <v>196</v>
      </c>
      <c r="H38" s="1" t="s">
        <v>197</v>
      </c>
    </row>
    <row r="39" spans="1:8" x14ac:dyDescent="0.35">
      <c r="A39" s="1" t="s">
        <v>198</v>
      </c>
      <c r="B39" s="1" t="s">
        <v>199</v>
      </c>
      <c r="C39" s="1" t="s">
        <v>200</v>
      </c>
      <c r="D39" s="1" t="s">
        <v>201</v>
      </c>
      <c r="E39" s="1">
        <v>18</v>
      </c>
      <c r="F39" s="1">
        <v>175000</v>
      </c>
      <c r="G39" s="1" t="s">
        <v>202</v>
      </c>
      <c r="H39" s="1" t="s">
        <v>91</v>
      </c>
    </row>
    <row r="40" spans="1:8" x14ac:dyDescent="0.35">
      <c r="A40" s="1" t="s">
        <v>203</v>
      </c>
      <c r="B40" s="1" t="s">
        <v>204</v>
      </c>
      <c r="C40" s="1" t="s">
        <v>205</v>
      </c>
      <c r="D40" s="1" t="s">
        <v>206</v>
      </c>
      <c r="E40" s="1">
        <v>10</v>
      </c>
      <c r="F40" s="1">
        <v>180000</v>
      </c>
      <c r="G40" s="1" t="s">
        <v>207</v>
      </c>
      <c r="H40" s="1" t="s">
        <v>208</v>
      </c>
    </row>
    <row r="41" spans="1:8" x14ac:dyDescent="0.35">
      <c r="A41" s="1" t="s">
        <v>209</v>
      </c>
      <c r="B41" s="1" t="s">
        <v>128</v>
      </c>
      <c r="C41" s="1" t="s">
        <v>210</v>
      </c>
      <c r="D41" s="1" t="s">
        <v>157</v>
      </c>
      <c r="E41" s="1">
        <v>10</v>
      </c>
      <c r="F41" s="1">
        <v>65000</v>
      </c>
      <c r="G41" s="1" t="s">
        <v>470</v>
      </c>
      <c r="H41" s="1" t="s">
        <v>211</v>
      </c>
    </row>
    <row r="42" spans="1:8" x14ac:dyDescent="0.35">
      <c r="A42" s="1" t="s">
        <v>70</v>
      </c>
      <c r="B42" s="1" t="s">
        <v>212</v>
      </c>
      <c r="C42" s="1" t="s">
        <v>173</v>
      </c>
      <c r="D42" s="1" t="s">
        <v>20</v>
      </c>
      <c r="E42" s="1">
        <v>3</v>
      </c>
      <c r="F42" s="1">
        <v>150000</v>
      </c>
      <c r="G42" s="1" t="s">
        <v>213</v>
      </c>
      <c r="H42" s="1" t="s">
        <v>214</v>
      </c>
    </row>
    <row r="43" spans="1:8" x14ac:dyDescent="0.35">
      <c r="A43" s="1" t="s">
        <v>215</v>
      </c>
      <c r="B43" s="1" t="s">
        <v>216</v>
      </c>
      <c r="C43" s="1" t="s">
        <v>217</v>
      </c>
      <c r="D43" s="1" t="s">
        <v>20</v>
      </c>
      <c r="E43" s="1">
        <v>8</v>
      </c>
      <c r="F43" s="1">
        <v>180000</v>
      </c>
      <c r="G43" s="1" t="s">
        <v>79</v>
      </c>
      <c r="H43" s="1" t="s">
        <v>75</v>
      </c>
    </row>
    <row r="44" spans="1:8" x14ac:dyDescent="0.35">
      <c r="A44" s="1" t="s">
        <v>218</v>
      </c>
      <c r="B44" s="1" t="s">
        <v>219</v>
      </c>
      <c r="C44" s="1" t="s">
        <v>220</v>
      </c>
      <c r="D44" s="1" t="s">
        <v>141</v>
      </c>
      <c r="E44" s="1">
        <v>3</v>
      </c>
      <c r="F44" s="1">
        <v>250000</v>
      </c>
      <c r="G44" s="1" t="s">
        <v>221</v>
      </c>
      <c r="H44" s="1" t="s">
        <v>222</v>
      </c>
    </row>
    <row r="45" spans="1:8" x14ac:dyDescent="0.35">
      <c r="A45" s="1" t="s">
        <v>223</v>
      </c>
      <c r="B45" s="1" t="s">
        <v>224</v>
      </c>
      <c r="C45" s="1" t="s">
        <v>225</v>
      </c>
      <c r="D45" s="1" t="s">
        <v>226</v>
      </c>
      <c r="E45" s="1">
        <v>18</v>
      </c>
      <c r="F45" s="1">
        <v>85000</v>
      </c>
      <c r="G45" s="1" t="s">
        <v>227</v>
      </c>
      <c r="H45" s="1" t="s">
        <v>180</v>
      </c>
    </row>
    <row r="46" spans="1:8" x14ac:dyDescent="0.35">
      <c r="A46" s="1" t="s">
        <v>228</v>
      </c>
      <c r="B46" s="1" t="s">
        <v>229</v>
      </c>
      <c r="C46" s="1" t="s">
        <v>60</v>
      </c>
      <c r="D46" s="1" t="s">
        <v>37</v>
      </c>
      <c r="E46" s="1">
        <v>9</v>
      </c>
      <c r="F46" s="1">
        <v>150000</v>
      </c>
      <c r="G46" s="1" t="s">
        <v>230</v>
      </c>
      <c r="H46" s="1" t="s">
        <v>231</v>
      </c>
    </row>
    <row r="47" spans="1:8" x14ac:dyDescent="0.35">
      <c r="A47" s="1" t="s">
        <v>232</v>
      </c>
      <c r="B47" s="1" t="s">
        <v>233</v>
      </c>
      <c r="C47" s="1" t="s">
        <v>234</v>
      </c>
      <c r="D47" s="1" t="s">
        <v>235</v>
      </c>
      <c r="E47" s="1">
        <v>18</v>
      </c>
      <c r="F47" s="1">
        <v>150000</v>
      </c>
      <c r="G47" s="1" t="s">
        <v>236</v>
      </c>
      <c r="H47" s="1" t="s">
        <v>237</v>
      </c>
    </row>
    <row r="48" spans="1:8" x14ac:dyDescent="0.35">
      <c r="A48" s="1" t="s">
        <v>238</v>
      </c>
      <c r="B48" s="1" t="s">
        <v>239</v>
      </c>
      <c r="C48" s="1" t="s">
        <v>129</v>
      </c>
      <c r="D48" s="1" t="s">
        <v>67</v>
      </c>
      <c r="E48" s="1">
        <v>11</v>
      </c>
      <c r="F48" s="1">
        <v>150000</v>
      </c>
      <c r="G48" s="1" t="s">
        <v>240</v>
      </c>
      <c r="H48" s="1" t="s">
        <v>241</v>
      </c>
    </row>
    <row r="49" spans="1:8" x14ac:dyDescent="0.35">
      <c r="A49" s="1" t="s">
        <v>242</v>
      </c>
      <c r="B49" s="1" t="s">
        <v>243</v>
      </c>
      <c r="C49" s="1" t="s">
        <v>244</v>
      </c>
      <c r="D49" s="1" t="s">
        <v>165</v>
      </c>
      <c r="E49" s="1">
        <v>4</v>
      </c>
      <c r="F49" s="1">
        <v>350000</v>
      </c>
      <c r="G49" s="1" t="s">
        <v>245</v>
      </c>
      <c r="H49" s="1" t="s">
        <v>246</v>
      </c>
    </row>
    <row r="50" spans="1:8" x14ac:dyDescent="0.35">
      <c r="A50" s="1" t="s">
        <v>247</v>
      </c>
      <c r="B50" s="1" t="s">
        <v>87</v>
      </c>
      <c r="C50" s="1" t="s">
        <v>105</v>
      </c>
      <c r="D50" s="1" t="s">
        <v>248</v>
      </c>
      <c r="E50" s="1">
        <v>19</v>
      </c>
      <c r="F50" s="1">
        <v>150000</v>
      </c>
      <c r="G50" s="1" t="s">
        <v>469</v>
      </c>
      <c r="H50" s="1" t="s">
        <v>249</v>
      </c>
    </row>
    <row r="51" spans="1:8" x14ac:dyDescent="0.35">
      <c r="A51" s="1" t="s">
        <v>250</v>
      </c>
      <c r="B51" s="1" t="s">
        <v>53</v>
      </c>
      <c r="C51" s="1" t="s">
        <v>251</v>
      </c>
      <c r="D51" s="1" t="s">
        <v>252</v>
      </c>
      <c r="E51" s="1">
        <v>7</v>
      </c>
      <c r="F51" s="1">
        <v>85000</v>
      </c>
      <c r="G51" s="1" t="s">
        <v>253</v>
      </c>
      <c r="H51" s="1" t="s">
        <v>254</v>
      </c>
    </row>
    <row r="52" spans="1:8" x14ac:dyDescent="0.35">
      <c r="A52" s="1" t="s">
        <v>255</v>
      </c>
      <c r="B52" s="1" t="s">
        <v>256</v>
      </c>
      <c r="C52" s="1" t="s">
        <v>257</v>
      </c>
      <c r="D52" s="1" t="s">
        <v>258</v>
      </c>
      <c r="E52" s="1">
        <v>13</v>
      </c>
      <c r="F52" s="1">
        <v>57912</v>
      </c>
      <c r="G52" s="1" t="s">
        <v>259</v>
      </c>
      <c r="H52" s="1" t="s">
        <v>260</v>
      </c>
    </row>
    <row r="53" spans="1:8" x14ac:dyDescent="0.35">
      <c r="A53" s="1" t="s">
        <v>261</v>
      </c>
      <c r="B53" s="1" t="s">
        <v>128</v>
      </c>
      <c r="C53" s="1" t="s">
        <v>156</v>
      </c>
      <c r="D53" s="1" t="s">
        <v>262</v>
      </c>
      <c r="E53" s="1">
        <v>18</v>
      </c>
      <c r="F53" s="1">
        <v>650000</v>
      </c>
      <c r="G53" s="1" t="s">
        <v>263</v>
      </c>
      <c r="H53" s="1" t="s">
        <v>264</v>
      </c>
    </row>
    <row r="54" spans="1:8" x14ac:dyDescent="0.35">
      <c r="A54" s="1" t="s">
        <v>265</v>
      </c>
      <c r="B54" s="1" t="s">
        <v>266</v>
      </c>
      <c r="C54" s="1" t="s">
        <v>94</v>
      </c>
      <c r="D54" s="1" t="s">
        <v>191</v>
      </c>
      <c r="E54" s="1">
        <v>5</v>
      </c>
      <c r="F54" s="1">
        <v>65000</v>
      </c>
      <c r="G54" s="1" t="s">
        <v>267</v>
      </c>
      <c r="H54" s="1" t="s">
        <v>268</v>
      </c>
    </row>
    <row r="55" spans="1:8" x14ac:dyDescent="0.35">
      <c r="A55" s="1" t="s">
        <v>269</v>
      </c>
      <c r="B55" s="1" t="s">
        <v>8</v>
      </c>
      <c r="C55" s="1" t="s">
        <v>244</v>
      </c>
      <c r="D55" s="1" t="s">
        <v>43</v>
      </c>
      <c r="E55" s="1">
        <v>13</v>
      </c>
      <c r="F55" s="1">
        <v>350000</v>
      </c>
      <c r="G55" s="1" t="s">
        <v>116</v>
      </c>
      <c r="H55" s="1" t="s">
        <v>270</v>
      </c>
    </row>
    <row r="56" spans="1:8" x14ac:dyDescent="0.35">
      <c r="A56" s="1" t="s">
        <v>271</v>
      </c>
      <c r="B56" s="1" t="s">
        <v>272</v>
      </c>
      <c r="C56" s="1" t="s">
        <v>273</v>
      </c>
      <c r="D56" s="1" t="s">
        <v>165</v>
      </c>
      <c r="E56" s="1">
        <v>19</v>
      </c>
      <c r="F56" s="1">
        <v>350000</v>
      </c>
      <c r="G56" s="1" t="s">
        <v>274</v>
      </c>
      <c r="H56" s="1" t="s">
        <v>275</v>
      </c>
    </row>
    <row r="57" spans="1:8" x14ac:dyDescent="0.35">
      <c r="A57" s="1" t="s">
        <v>276</v>
      </c>
      <c r="B57" s="1" t="s">
        <v>277</v>
      </c>
      <c r="C57" s="1" t="s">
        <v>278</v>
      </c>
      <c r="D57" s="1" t="s">
        <v>32</v>
      </c>
      <c r="E57" s="1">
        <v>9</v>
      </c>
      <c r="F57" s="1">
        <v>180000</v>
      </c>
      <c r="G57" s="1" t="s">
        <v>279</v>
      </c>
      <c r="H57" s="1" t="s">
        <v>280</v>
      </c>
    </row>
    <row r="58" spans="1:8" x14ac:dyDescent="0.35">
      <c r="A58" s="1" t="s">
        <v>281</v>
      </c>
      <c r="B58" s="1" t="s">
        <v>93</v>
      </c>
      <c r="C58" s="1" t="s">
        <v>282</v>
      </c>
      <c r="D58" s="1" t="s">
        <v>283</v>
      </c>
      <c r="E58" s="1">
        <v>10</v>
      </c>
      <c r="F58" s="1">
        <v>150000</v>
      </c>
      <c r="G58" s="1" t="s">
        <v>284</v>
      </c>
      <c r="H58" s="1" t="s">
        <v>285</v>
      </c>
    </row>
    <row r="59" spans="1:8" x14ac:dyDescent="0.35">
      <c r="A59" s="1" t="s">
        <v>286</v>
      </c>
      <c r="B59" s="1" t="s">
        <v>287</v>
      </c>
      <c r="C59" s="1" t="s">
        <v>251</v>
      </c>
      <c r="D59" s="1" t="s">
        <v>288</v>
      </c>
      <c r="E59" s="1">
        <v>10</v>
      </c>
      <c r="F59" s="1">
        <v>85000</v>
      </c>
      <c r="G59" s="1" t="s">
        <v>279</v>
      </c>
      <c r="H59" s="1" t="s">
        <v>289</v>
      </c>
    </row>
    <row r="60" spans="1:8" x14ac:dyDescent="0.35">
      <c r="A60" s="1" t="s">
        <v>290</v>
      </c>
      <c r="B60" s="1" t="s">
        <v>291</v>
      </c>
      <c r="C60" s="1" t="s">
        <v>292</v>
      </c>
      <c r="D60" s="1" t="s">
        <v>293</v>
      </c>
      <c r="E60" s="1">
        <v>5</v>
      </c>
      <c r="F60" s="1">
        <v>25000</v>
      </c>
      <c r="G60" s="1" t="s">
        <v>294</v>
      </c>
      <c r="H60" s="1" t="s">
        <v>295</v>
      </c>
    </row>
    <row r="61" spans="1:8" x14ac:dyDescent="0.35">
      <c r="A61" s="1" t="s">
        <v>108</v>
      </c>
      <c r="B61" s="1" t="s">
        <v>296</v>
      </c>
      <c r="C61" s="1" t="s">
        <v>173</v>
      </c>
      <c r="D61" s="1" t="s">
        <v>283</v>
      </c>
      <c r="E61" s="1">
        <v>1</v>
      </c>
      <c r="F61" s="1">
        <v>150000</v>
      </c>
      <c r="G61" s="1" t="s">
        <v>121</v>
      </c>
      <c r="H61" s="1" t="s">
        <v>17</v>
      </c>
    </row>
    <row r="62" spans="1:8" x14ac:dyDescent="0.35">
      <c r="A62" s="1" t="s">
        <v>297</v>
      </c>
      <c r="B62" s="1" t="s">
        <v>298</v>
      </c>
      <c r="C62" s="1" t="s">
        <v>299</v>
      </c>
      <c r="D62" s="1" t="s">
        <v>300</v>
      </c>
      <c r="E62" s="1">
        <v>20</v>
      </c>
      <c r="F62" s="1">
        <v>150000</v>
      </c>
      <c r="G62" s="1" t="s">
        <v>301</v>
      </c>
      <c r="H62" s="1" t="s">
        <v>302</v>
      </c>
    </row>
    <row r="63" spans="1:8" x14ac:dyDescent="0.35">
      <c r="A63" s="1" t="s">
        <v>185</v>
      </c>
      <c r="B63" s="1" t="s">
        <v>303</v>
      </c>
      <c r="C63" s="1" t="s">
        <v>304</v>
      </c>
      <c r="D63" s="1" t="s">
        <v>305</v>
      </c>
      <c r="E63" s="1">
        <v>11</v>
      </c>
      <c r="F63" s="1">
        <v>350000</v>
      </c>
      <c r="G63" s="1" t="s">
        <v>306</v>
      </c>
      <c r="H63" s="1" t="s">
        <v>307</v>
      </c>
    </row>
    <row r="64" spans="1:8" x14ac:dyDescent="0.35">
      <c r="A64" s="1" t="s">
        <v>308</v>
      </c>
      <c r="B64" s="1" t="s">
        <v>309</v>
      </c>
      <c r="C64" s="1" t="s">
        <v>310</v>
      </c>
      <c r="D64" s="1" t="s">
        <v>311</v>
      </c>
      <c r="E64" s="1">
        <v>14</v>
      </c>
      <c r="F64" s="1">
        <v>250000</v>
      </c>
      <c r="G64" s="1" t="s">
        <v>312</v>
      </c>
      <c r="H64" s="1" t="s">
        <v>313</v>
      </c>
    </row>
    <row r="65" spans="1:8" x14ac:dyDescent="0.35">
      <c r="A65" s="1" t="s">
        <v>314</v>
      </c>
      <c r="B65" s="1" t="s">
        <v>315</v>
      </c>
      <c r="C65" s="1" t="s">
        <v>105</v>
      </c>
      <c r="D65" s="1" t="s">
        <v>20</v>
      </c>
      <c r="E65" s="1">
        <v>3</v>
      </c>
      <c r="F65" s="1">
        <v>150000</v>
      </c>
      <c r="G65" s="1" t="s">
        <v>316</v>
      </c>
      <c r="H65" s="1" t="s">
        <v>12</v>
      </c>
    </row>
    <row r="66" spans="1:8" x14ac:dyDescent="0.35">
      <c r="A66" s="1" t="s">
        <v>317</v>
      </c>
      <c r="B66" s="1" t="s">
        <v>296</v>
      </c>
      <c r="C66" s="1" t="s">
        <v>318</v>
      </c>
      <c r="D66" s="1" t="s">
        <v>226</v>
      </c>
      <c r="E66" s="1">
        <v>6</v>
      </c>
      <c r="F66" s="1">
        <v>85000</v>
      </c>
      <c r="G66" s="1" t="s">
        <v>319</v>
      </c>
      <c r="H66" s="1" t="s">
        <v>320</v>
      </c>
    </row>
    <row r="67" spans="1:8" x14ac:dyDescent="0.35">
      <c r="A67" s="1" t="s">
        <v>321</v>
      </c>
      <c r="B67" s="1" t="s">
        <v>322</v>
      </c>
      <c r="C67" s="1" t="s">
        <v>304</v>
      </c>
      <c r="D67" s="1" t="s">
        <v>15</v>
      </c>
      <c r="E67" s="1">
        <v>15</v>
      </c>
      <c r="F67" s="1">
        <v>350000</v>
      </c>
      <c r="G67" s="1" t="s">
        <v>323</v>
      </c>
      <c r="H67" s="1" t="s">
        <v>324</v>
      </c>
    </row>
    <row r="68" spans="1:8" x14ac:dyDescent="0.35">
      <c r="A68" s="1" t="s">
        <v>325</v>
      </c>
      <c r="B68" s="1" t="s">
        <v>114</v>
      </c>
      <c r="C68" s="1" t="s">
        <v>105</v>
      </c>
      <c r="D68" s="1" t="s">
        <v>326</v>
      </c>
      <c r="E68" s="1">
        <v>16</v>
      </c>
      <c r="F68" s="1">
        <v>150000</v>
      </c>
      <c r="G68" s="1" t="s">
        <v>327</v>
      </c>
      <c r="H68" s="1" t="s">
        <v>313</v>
      </c>
    </row>
    <row r="69" spans="1:8" x14ac:dyDescent="0.35">
      <c r="A69" s="1" t="s">
        <v>328</v>
      </c>
      <c r="B69" s="1" t="s">
        <v>199</v>
      </c>
      <c r="C69" s="1" t="s">
        <v>329</v>
      </c>
      <c r="D69" s="1" t="s">
        <v>330</v>
      </c>
      <c r="E69" s="1">
        <v>8</v>
      </c>
      <c r="F69" s="1">
        <v>175000</v>
      </c>
      <c r="G69" s="1" t="s">
        <v>331</v>
      </c>
      <c r="H69" s="1" t="s">
        <v>91</v>
      </c>
    </row>
    <row r="70" spans="1:8" x14ac:dyDescent="0.35">
      <c r="A70" s="1" t="s">
        <v>332</v>
      </c>
      <c r="B70" s="1" t="s">
        <v>243</v>
      </c>
      <c r="C70" s="1" t="s">
        <v>333</v>
      </c>
      <c r="D70" s="1" t="s">
        <v>334</v>
      </c>
      <c r="E70" s="1">
        <v>2</v>
      </c>
      <c r="F70" s="1">
        <v>85000</v>
      </c>
      <c r="G70" s="1" t="s">
        <v>335</v>
      </c>
      <c r="H70" s="1" t="s">
        <v>336</v>
      </c>
    </row>
    <row r="71" spans="1:8" x14ac:dyDescent="0.35">
      <c r="A71" s="1" t="s">
        <v>337</v>
      </c>
      <c r="B71" s="1" t="s">
        <v>133</v>
      </c>
      <c r="C71" s="1" t="s">
        <v>338</v>
      </c>
      <c r="D71" s="1" t="s">
        <v>339</v>
      </c>
      <c r="E71" s="1">
        <v>13</v>
      </c>
      <c r="F71" s="1">
        <v>250000</v>
      </c>
      <c r="G71" s="1" t="s">
        <v>340</v>
      </c>
      <c r="H71" s="1" t="s">
        <v>341</v>
      </c>
    </row>
    <row r="72" spans="1:8" x14ac:dyDescent="0.35">
      <c r="A72" s="1" t="s">
        <v>342</v>
      </c>
      <c r="B72" s="1" t="s">
        <v>169</v>
      </c>
      <c r="C72" s="1" t="s">
        <v>156</v>
      </c>
      <c r="D72" s="1" t="s">
        <v>49</v>
      </c>
      <c r="E72" s="1">
        <v>11</v>
      </c>
      <c r="F72" s="1">
        <v>65000</v>
      </c>
      <c r="G72" s="1" t="s">
        <v>343</v>
      </c>
      <c r="H72" s="1" t="s">
        <v>344</v>
      </c>
    </row>
    <row r="73" spans="1:8" x14ac:dyDescent="0.35">
      <c r="A73" s="1" t="s">
        <v>168</v>
      </c>
      <c r="B73" s="1" t="s">
        <v>345</v>
      </c>
      <c r="C73" s="1" t="s">
        <v>346</v>
      </c>
      <c r="D73" s="1" t="s">
        <v>347</v>
      </c>
      <c r="E73" s="1">
        <v>17</v>
      </c>
      <c r="F73" s="1">
        <v>3500</v>
      </c>
      <c r="G73" s="1" t="s">
        <v>348</v>
      </c>
      <c r="H73" s="1" t="s">
        <v>349</v>
      </c>
    </row>
    <row r="74" spans="1:8" x14ac:dyDescent="0.35">
      <c r="A74" s="1" t="s">
        <v>350</v>
      </c>
      <c r="B74" s="1" t="s">
        <v>59</v>
      </c>
      <c r="C74" s="1" t="s">
        <v>351</v>
      </c>
      <c r="D74" s="1" t="s">
        <v>352</v>
      </c>
      <c r="E74" s="1">
        <v>18</v>
      </c>
      <c r="F74" s="1">
        <v>65000</v>
      </c>
      <c r="G74" s="1" t="s">
        <v>116</v>
      </c>
      <c r="H74" s="1" t="s">
        <v>112</v>
      </c>
    </row>
    <row r="75" spans="1:8" x14ac:dyDescent="0.35">
      <c r="A75" s="1" t="s">
        <v>353</v>
      </c>
      <c r="B75" s="1" t="s">
        <v>53</v>
      </c>
      <c r="C75" s="1" t="s">
        <v>354</v>
      </c>
      <c r="D75" s="1" t="s">
        <v>283</v>
      </c>
      <c r="E75" s="1">
        <v>13</v>
      </c>
      <c r="F75" s="1">
        <v>180000</v>
      </c>
      <c r="G75" s="1" t="s">
        <v>142</v>
      </c>
      <c r="H75" s="1" t="s">
        <v>355</v>
      </c>
    </row>
    <row r="76" spans="1:8" x14ac:dyDescent="0.35">
      <c r="A76" s="1" t="s">
        <v>356</v>
      </c>
      <c r="B76" s="1" t="s">
        <v>65</v>
      </c>
      <c r="C76" s="1" t="s">
        <v>357</v>
      </c>
      <c r="D76" s="1" t="s">
        <v>201</v>
      </c>
      <c r="E76" s="1">
        <v>10</v>
      </c>
      <c r="F76" s="1">
        <v>175000</v>
      </c>
      <c r="G76" s="1" t="s">
        <v>358</v>
      </c>
      <c r="H76" s="1" t="s">
        <v>359</v>
      </c>
    </row>
    <row r="77" spans="1:8" x14ac:dyDescent="0.35">
      <c r="A77" s="1" t="s">
        <v>360</v>
      </c>
      <c r="B77" s="1" t="s">
        <v>361</v>
      </c>
      <c r="C77" s="1" t="s">
        <v>225</v>
      </c>
      <c r="D77" s="1" t="s">
        <v>362</v>
      </c>
      <c r="E77" s="1">
        <v>5</v>
      </c>
      <c r="F77" s="1">
        <v>85000</v>
      </c>
      <c r="G77" s="1" t="s">
        <v>363</v>
      </c>
      <c r="H77" s="1" t="s">
        <v>364</v>
      </c>
    </row>
    <row r="78" spans="1:8" x14ac:dyDescent="0.35">
      <c r="A78" s="1" t="s">
        <v>365</v>
      </c>
      <c r="B78" s="1" t="s">
        <v>366</v>
      </c>
      <c r="C78" s="1" t="s">
        <v>367</v>
      </c>
      <c r="D78" s="1" t="s">
        <v>368</v>
      </c>
      <c r="E78" s="1">
        <v>17</v>
      </c>
      <c r="F78" s="1">
        <v>350000</v>
      </c>
      <c r="G78" s="1" t="s">
        <v>196</v>
      </c>
      <c r="H78" s="1" t="s">
        <v>369</v>
      </c>
    </row>
    <row r="79" spans="1:8" x14ac:dyDescent="0.35">
      <c r="A79" s="1" t="s">
        <v>370</v>
      </c>
      <c r="B79" s="1" t="s">
        <v>371</v>
      </c>
      <c r="C79" s="1" t="s">
        <v>372</v>
      </c>
      <c r="D79" s="1" t="s">
        <v>165</v>
      </c>
      <c r="E79" s="1">
        <v>13</v>
      </c>
      <c r="F79" s="1">
        <v>350000</v>
      </c>
      <c r="G79" s="1" t="s">
        <v>373</v>
      </c>
      <c r="H79" s="1" t="s">
        <v>374</v>
      </c>
    </row>
    <row r="80" spans="1:8" x14ac:dyDescent="0.35">
      <c r="A80" s="1" t="s">
        <v>375</v>
      </c>
      <c r="B80" s="1" t="s">
        <v>71</v>
      </c>
      <c r="C80" s="1" t="s">
        <v>376</v>
      </c>
      <c r="D80" s="1" t="s">
        <v>377</v>
      </c>
      <c r="E80" s="1">
        <v>8</v>
      </c>
      <c r="F80" s="1">
        <v>350000</v>
      </c>
      <c r="G80" s="1" t="s">
        <v>378</v>
      </c>
      <c r="H80" s="1" t="s">
        <v>131</v>
      </c>
    </row>
    <row r="81" spans="1:8" x14ac:dyDescent="0.35">
      <c r="A81" s="1" t="s">
        <v>379</v>
      </c>
      <c r="B81" s="1" t="s">
        <v>380</v>
      </c>
      <c r="C81" s="1" t="s">
        <v>381</v>
      </c>
      <c r="D81" s="1" t="s">
        <v>382</v>
      </c>
      <c r="E81" s="1">
        <v>13</v>
      </c>
      <c r="F81" s="1">
        <v>85000</v>
      </c>
      <c r="G81" s="1" t="s">
        <v>383</v>
      </c>
      <c r="H81" s="1" t="s">
        <v>131</v>
      </c>
    </row>
    <row r="82" spans="1:8" x14ac:dyDescent="0.35">
      <c r="A82" s="1" t="s">
        <v>384</v>
      </c>
      <c r="B82" s="1" t="s">
        <v>385</v>
      </c>
      <c r="C82" s="1" t="s">
        <v>386</v>
      </c>
      <c r="D82" s="1" t="s">
        <v>387</v>
      </c>
      <c r="E82" s="1">
        <v>17</v>
      </c>
      <c r="F82" s="1">
        <v>150000</v>
      </c>
      <c r="G82" s="1" t="s">
        <v>388</v>
      </c>
      <c r="H82" s="1" t="s">
        <v>389</v>
      </c>
    </row>
    <row r="83" spans="1:8" x14ac:dyDescent="0.35">
      <c r="A83" s="1" t="s">
        <v>390</v>
      </c>
      <c r="B83" s="1" t="s">
        <v>391</v>
      </c>
      <c r="C83" s="1" t="s">
        <v>392</v>
      </c>
      <c r="D83" s="1" t="s">
        <v>393</v>
      </c>
      <c r="E83" s="1">
        <v>19</v>
      </c>
      <c r="F83" s="1">
        <v>65000</v>
      </c>
      <c r="G83" s="1" t="s">
        <v>394</v>
      </c>
      <c r="H83" s="1" t="s">
        <v>395</v>
      </c>
    </row>
    <row r="84" spans="1:8" x14ac:dyDescent="0.35">
      <c r="A84" s="1" t="s">
        <v>396</v>
      </c>
      <c r="B84" s="1" t="s">
        <v>177</v>
      </c>
      <c r="C84" s="1" t="s">
        <v>60</v>
      </c>
      <c r="D84" s="1" t="s">
        <v>37</v>
      </c>
      <c r="E84" s="1">
        <v>1</v>
      </c>
      <c r="F84" s="1">
        <v>150000</v>
      </c>
      <c r="G84" s="1" t="s">
        <v>142</v>
      </c>
      <c r="H84" s="1" t="s">
        <v>397</v>
      </c>
    </row>
    <row r="85" spans="1:8" x14ac:dyDescent="0.35">
      <c r="A85" s="1" t="s">
        <v>398</v>
      </c>
      <c r="B85" s="1" t="s">
        <v>296</v>
      </c>
      <c r="C85" s="1" t="s">
        <v>292</v>
      </c>
      <c r="D85" s="1" t="s">
        <v>399</v>
      </c>
      <c r="E85" s="1">
        <v>13</v>
      </c>
      <c r="F85" s="1">
        <v>250000</v>
      </c>
      <c r="G85" s="1" t="s">
        <v>400</v>
      </c>
      <c r="H85" s="1" t="s">
        <v>285</v>
      </c>
    </row>
    <row r="86" spans="1:8" x14ac:dyDescent="0.35">
      <c r="A86" s="1" t="s">
        <v>401</v>
      </c>
      <c r="B86" s="1" t="s">
        <v>224</v>
      </c>
      <c r="C86" s="1" t="s">
        <v>402</v>
      </c>
      <c r="D86" s="1" t="s">
        <v>403</v>
      </c>
      <c r="E86" s="1">
        <v>18</v>
      </c>
      <c r="F86" s="1">
        <v>65000</v>
      </c>
      <c r="G86" s="1" t="s">
        <v>306</v>
      </c>
      <c r="H86" s="1" t="s">
        <v>214</v>
      </c>
    </row>
    <row r="87" spans="1:8" x14ac:dyDescent="0.35">
      <c r="A87" s="1" t="s">
        <v>404</v>
      </c>
      <c r="B87" s="1" t="s">
        <v>405</v>
      </c>
      <c r="C87" s="1" t="s">
        <v>406</v>
      </c>
      <c r="D87" s="1" t="s">
        <v>407</v>
      </c>
      <c r="E87" s="1">
        <v>20</v>
      </c>
      <c r="F87" s="1">
        <v>250000</v>
      </c>
      <c r="G87" s="1" t="s">
        <v>408</v>
      </c>
      <c r="H87" s="1" t="s">
        <v>409</v>
      </c>
    </row>
    <row r="88" spans="1:8" x14ac:dyDescent="0.35">
      <c r="A88" s="1" t="s">
        <v>410</v>
      </c>
      <c r="B88" s="1" t="s">
        <v>99</v>
      </c>
      <c r="C88" s="1" t="s">
        <v>278</v>
      </c>
      <c r="D88" s="1" t="s">
        <v>20</v>
      </c>
      <c r="E88" s="1">
        <v>4</v>
      </c>
      <c r="F88" s="1">
        <v>180000</v>
      </c>
      <c r="G88" s="1" t="s">
        <v>411</v>
      </c>
      <c r="H88" s="1" t="s">
        <v>39</v>
      </c>
    </row>
    <row r="89" spans="1:8" x14ac:dyDescent="0.35">
      <c r="A89" s="1" t="s">
        <v>412</v>
      </c>
      <c r="B89" s="1" t="s">
        <v>391</v>
      </c>
      <c r="C89" s="1" t="s">
        <v>60</v>
      </c>
      <c r="D89" s="1" t="s">
        <v>37</v>
      </c>
      <c r="E89" s="1">
        <v>5</v>
      </c>
      <c r="F89" s="1">
        <v>150000</v>
      </c>
      <c r="G89" s="1" t="s">
        <v>348</v>
      </c>
      <c r="H89" s="1" t="s">
        <v>413</v>
      </c>
    </row>
    <row r="90" spans="1:8" x14ac:dyDescent="0.35">
      <c r="A90" s="1" t="s">
        <v>414</v>
      </c>
      <c r="B90" s="1" t="s">
        <v>59</v>
      </c>
      <c r="C90" s="1" t="s">
        <v>415</v>
      </c>
      <c r="D90" s="1" t="s">
        <v>399</v>
      </c>
      <c r="E90" s="1">
        <v>11</v>
      </c>
      <c r="F90" s="1">
        <v>2500000</v>
      </c>
      <c r="G90" s="1" t="s">
        <v>21</v>
      </c>
      <c r="H90" s="1" t="s">
        <v>416</v>
      </c>
    </row>
    <row r="91" spans="1:8" x14ac:dyDescent="0.35">
      <c r="A91" s="1" t="s">
        <v>417</v>
      </c>
      <c r="B91" s="1" t="s">
        <v>99</v>
      </c>
      <c r="C91" s="1" t="s">
        <v>418</v>
      </c>
      <c r="D91" s="1" t="s">
        <v>419</v>
      </c>
      <c r="E91" s="1">
        <v>20</v>
      </c>
      <c r="F91" s="1">
        <v>250000</v>
      </c>
      <c r="G91" s="1" t="s">
        <v>420</v>
      </c>
      <c r="H91" s="1" t="s">
        <v>421</v>
      </c>
    </row>
    <row r="92" spans="1:8" x14ac:dyDescent="0.35">
      <c r="A92" s="1" t="s">
        <v>422</v>
      </c>
      <c r="B92" s="1" t="s">
        <v>423</v>
      </c>
      <c r="C92" s="1" t="s">
        <v>424</v>
      </c>
      <c r="D92" s="1" t="s">
        <v>425</v>
      </c>
      <c r="E92" s="1">
        <v>7</v>
      </c>
      <c r="F92" s="1">
        <v>89233</v>
      </c>
      <c r="G92" s="1" t="s">
        <v>426</v>
      </c>
      <c r="H92" s="1" t="s">
        <v>427</v>
      </c>
    </row>
    <row r="93" spans="1:8" x14ac:dyDescent="0.35">
      <c r="A93" s="1" t="s">
        <v>428</v>
      </c>
      <c r="B93" s="1" t="s">
        <v>429</v>
      </c>
      <c r="C93" s="1" t="s">
        <v>430</v>
      </c>
      <c r="D93" s="1" t="s">
        <v>431</v>
      </c>
      <c r="E93" s="1">
        <v>5</v>
      </c>
      <c r="F93" s="1">
        <v>250000</v>
      </c>
      <c r="G93" s="1" t="s">
        <v>432</v>
      </c>
      <c r="H93" s="1" t="s">
        <v>433</v>
      </c>
    </row>
    <row r="94" spans="1:8" x14ac:dyDescent="0.35">
      <c r="A94" s="1" t="s">
        <v>434</v>
      </c>
      <c r="B94" s="1" t="s">
        <v>435</v>
      </c>
      <c r="C94" s="1" t="s">
        <v>436</v>
      </c>
      <c r="D94" s="1" t="s">
        <v>201</v>
      </c>
      <c r="E94" s="1">
        <v>19</v>
      </c>
      <c r="F94" s="1">
        <v>175000</v>
      </c>
      <c r="G94" s="1" t="s">
        <v>437</v>
      </c>
      <c r="H94" s="1" t="s">
        <v>438</v>
      </c>
    </row>
    <row r="95" spans="1:8" x14ac:dyDescent="0.35">
      <c r="A95" s="1" t="s">
        <v>439</v>
      </c>
      <c r="B95" s="1" t="s">
        <v>296</v>
      </c>
      <c r="C95" s="1" t="s">
        <v>161</v>
      </c>
      <c r="D95" s="1" t="s">
        <v>165</v>
      </c>
      <c r="E95" s="1">
        <v>14</v>
      </c>
      <c r="F95" s="1">
        <v>350000</v>
      </c>
      <c r="G95" s="1" t="s">
        <v>440</v>
      </c>
      <c r="H95" s="1" t="s">
        <v>441</v>
      </c>
    </row>
    <row r="96" spans="1:8" x14ac:dyDescent="0.35">
      <c r="A96" s="1" t="s">
        <v>442</v>
      </c>
      <c r="B96" s="1" t="s">
        <v>296</v>
      </c>
      <c r="C96" s="1" t="s">
        <v>443</v>
      </c>
      <c r="D96" s="1" t="s">
        <v>444</v>
      </c>
      <c r="E96" s="1">
        <v>20</v>
      </c>
      <c r="F96" s="1">
        <v>175000</v>
      </c>
      <c r="G96" s="1" t="s">
        <v>445</v>
      </c>
      <c r="H96" s="1" t="s">
        <v>446</v>
      </c>
    </row>
    <row r="97" spans="1:8" x14ac:dyDescent="0.35">
      <c r="A97" s="1" t="s">
        <v>447</v>
      </c>
      <c r="B97" s="1" t="s">
        <v>448</v>
      </c>
      <c r="C97" s="1" t="s">
        <v>381</v>
      </c>
      <c r="D97" s="1" t="s">
        <v>449</v>
      </c>
      <c r="E97" s="1">
        <v>18</v>
      </c>
      <c r="F97" s="1">
        <v>85000</v>
      </c>
      <c r="G97" s="1" t="s">
        <v>450</v>
      </c>
      <c r="H97" s="1" t="s">
        <v>451</v>
      </c>
    </row>
    <row r="98" spans="1:8" x14ac:dyDescent="0.35">
      <c r="A98" s="1" t="s">
        <v>452</v>
      </c>
      <c r="B98" s="1" t="s">
        <v>453</v>
      </c>
      <c r="C98" s="1" t="s">
        <v>454</v>
      </c>
      <c r="D98" s="1" t="s">
        <v>455</v>
      </c>
      <c r="E98" s="1">
        <v>17</v>
      </c>
      <c r="F98" s="1">
        <v>175000</v>
      </c>
      <c r="G98" s="1" t="s">
        <v>456</v>
      </c>
      <c r="H98" s="1" t="s">
        <v>457</v>
      </c>
    </row>
    <row r="99" spans="1:8" x14ac:dyDescent="0.35">
      <c r="A99" s="1" t="s">
        <v>458</v>
      </c>
      <c r="B99" s="1" t="s">
        <v>8</v>
      </c>
      <c r="C99" s="1" t="s">
        <v>220</v>
      </c>
      <c r="D99" s="1" t="s">
        <v>399</v>
      </c>
      <c r="E99" s="1">
        <v>20</v>
      </c>
      <c r="F99" s="1">
        <v>250000</v>
      </c>
      <c r="G99" s="1" t="s">
        <v>319</v>
      </c>
      <c r="H99" s="1" t="s">
        <v>17</v>
      </c>
    </row>
    <row r="100" spans="1:8" x14ac:dyDescent="0.35">
      <c r="A100" s="1" t="s">
        <v>459</v>
      </c>
      <c r="B100" s="1" t="s">
        <v>216</v>
      </c>
      <c r="C100" s="1" t="s">
        <v>304</v>
      </c>
      <c r="D100" s="1" t="s">
        <v>165</v>
      </c>
      <c r="E100" s="1">
        <v>20</v>
      </c>
      <c r="F100" s="1">
        <v>350000</v>
      </c>
      <c r="G100" s="1" t="s">
        <v>460</v>
      </c>
      <c r="H100" s="1" t="s">
        <v>461</v>
      </c>
    </row>
    <row r="101" spans="1:8" x14ac:dyDescent="0.35">
      <c r="A101" s="1" t="s">
        <v>462</v>
      </c>
      <c r="B101" s="1" t="s">
        <v>463</v>
      </c>
      <c r="C101" s="1" t="s">
        <v>464</v>
      </c>
      <c r="D101" s="1" t="s">
        <v>465</v>
      </c>
      <c r="E101" s="1">
        <v>18</v>
      </c>
      <c r="F101" s="1">
        <v>150000</v>
      </c>
      <c r="G101" s="1" t="s">
        <v>466</v>
      </c>
      <c r="H101" s="1" t="s">
        <v>467</v>
      </c>
    </row>
  </sheetData>
  <autoFilter ref="A1:H101" xr:uid="{ED27FC25-0380-4F14-B162-2DD7D92AF82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C1" workbookViewId="0">
      <pane ySplit="1" topLeftCell="A2" activePane="bottomLeft" state="frozen"/>
      <selection pane="bottomLeft" activeCell="J1" sqref="J1:J1048576"/>
    </sheetView>
  </sheetViews>
  <sheetFormatPr defaultRowHeight="14.5" x14ac:dyDescent="0.35"/>
  <cols>
    <col min="1" max="8" width="18.90625" customWidth="1"/>
    <col min="9" max="10" width="18.90625" style="1" customWidth="1"/>
    <col min="11" max="11" width="18.90625" customWidth="1"/>
  </cols>
  <sheetData>
    <row r="1" spans="1:10" x14ac:dyDescent="0.35">
      <c r="A1" s="9" t="s">
        <v>0</v>
      </c>
      <c r="B1" s="10" t="s">
        <v>1</v>
      </c>
      <c r="C1" s="10" t="s">
        <v>2</v>
      </c>
      <c r="D1" s="10" t="s">
        <v>3</v>
      </c>
      <c r="E1" s="10" t="s">
        <v>4</v>
      </c>
      <c r="F1" s="10" t="s">
        <v>5</v>
      </c>
      <c r="G1" s="11" t="s">
        <v>6</v>
      </c>
      <c r="H1" s="11" t="s">
        <v>7</v>
      </c>
      <c r="I1" s="10" t="s">
        <v>496</v>
      </c>
      <c r="J1" s="10" t="s">
        <v>497</v>
      </c>
    </row>
    <row r="2" spans="1:10" x14ac:dyDescent="0.35">
      <c r="A2" s="7">
        <v>45821</v>
      </c>
      <c r="B2" s="1" t="s">
        <v>8</v>
      </c>
      <c r="C2" s="1" t="s">
        <v>119</v>
      </c>
      <c r="D2" s="1" t="s">
        <v>120</v>
      </c>
      <c r="E2" s="1">
        <v>8</v>
      </c>
      <c r="F2" s="1">
        <v>250000</v>
      </c>
      <c r="G2" s="8" t="s">
        <v>179</v>
      </c>
      <c r="H2" s="14" t="s">
        <v>486</v>
      </c>
      <c r="I2" s="1" t="str">
        <f>IF([1]!SalesData[[#This Row],[Units Sold]]&lt;= 10,"Low Units",IF([1]!SalesData[[#This Row],[Units Sold]]&lt;= 15,"Average Units","High Units"))</f>
        <v>Low Units</v>
      </c>
      <c r="J2" s="18">
        <f>[1]!SalesData[[#This Row],[Units Sold]]*[1]!SalesData[[#This Row],[Unit Price]]</f>
        <v>2000000</v>
      </c>
    </row>
    <row r="3" spans="1:10" x14ac:dyDescent="0.35">
      <c r="A3" s="7">
        <v>45755</v>
      </c>
      <c r="B3" s="1" t="s">
        <v>99</v>
      </c>
      <c r="C3" s="1" t="s">
        <v>473</v>
      </c>
      <c r="D3" s="1" t="s">
        <v>165</v>
      </c>
      <c r="E3" s="1">
        <v>6</v>
      </c>
      <c r="F3" s="1">
        <v>350000</v>
      </c>
      <c r="G3" s="8" t="s">
        <v>494</v>
      </c>
      <c r="H3" s="8" t="s">
        <v>17</v>
      </c>
      <c r="I3" s="1" t="str">
        <f>IF([1]!SalesData[[#This Row],[Units Sold]]&lt;= 10,"Low Units",IF([1]!SalesData[[#This Row],[Units Sold]]&lt;= 15,"Average Units","High Units"))</f>
        <v>Low Units</v>
      </c>
      <c r="J3" s="18">
        <f>[1]!SalesData[[#This Row],[Units Sold]]*[1]!SalesData[[#This Row],[Unit Price]]</f>
        <v>2100000</v>
      </c>
    </row>
    <row r="4" spans="1:10" x14ac:dyDescent="0.35">
      <c r="A4" s="7">
        <v>45686</v>
      </c>
      <c r="B4" s="1" t="s">
        <v>18</v>
      </c>
      <c r="C4" s="1" t="s">
        <v>474</v>
      </c>
      <c r="D4" s="1" t="s">
        <v>20</v>
      </c>
      <c r="E4" s="1">
        <v>14</v>
      </c>
      <c r="F4" s="1">
        <v>180000</v>
      </c>
      <c r="G4" s="8" t="s">
        <v>319</v>
      </c>
      <c r="H4" s="8" t="s">
        <v>487</v>
      </c>
      <c r="I4" s="1" t="str">
        <f>IF([1]!SalesData[[#This Row],[Units Sold]]&lt;= 10,"Low Units",IF([1]!SalesData[[#This Row],[Units Sold]]&lt;= 15,"Average Units","High Units"))</f>
        <v>Average Units</v>
      </c>
      <c r="J4" s="18">
        <f>[1]!SalesData[[#This Row],[Units Sold]]*[1]!SalesData[[#This Row],[Unit Price]]</f>
        <v>2520000</v>
      </c>
    </row>
    <row r="5" spans="1:10" x14ac:dyDescent="0.35">
      <c r="A5" s="7">
        <v>45794</v>
      </c>
      <c r="B5" s="1" t="s">
        <v>8</v>
      </c>
      <c r="C5" s="1" t="s">
        <v>475</v>
      </c>
      <c r="D5" s="1" t="s">
        <v>484</v>
      </c>
      <c r="E5" s="1">
        <v>18</v>
      </c>
      <c r="F5" s="1">
        <v>65000</v>
      </c>
      <c r="G5" s="8" t="s">
        <v>494</v>
      </c>
      <c r="H5" s="8" t="s">
        <v>491</v>
      </c>
      <c r="I5" s="1" t="str">
        <f>IF([1]!SalesData[[#This Row],[Units Sold]]&lt;= 10,"Low Units",IF([1]!SalesData[[#This Row],[Units Sold]]&lt;= 15,"Average Units","High Units"))</f>
        <v>High Units</v>
      </c>
      <c r="J5" s="18">
        <f>[1]!SalesData[[#This Row],[Units Sold]]*[1]!SalesData[[#This Row],[Unit Price]]</f>
        <v>1170000</v>
      </c>
    </row>
    <row r="6" spans="1:10" x14ac:dyDescent="0.35">
      <c r="A6" s="7">
        <v>45685</v>
      </c>
      <c r="B6" s="1" t="s">
        <v>59</v>
      </c>
      <c r="C6" s="1" t="s">
        <v>474</v>
      </c>
      <c r="D6" s="1" t="s">
        <v>20</v>
      </c>
      <c r="E6" s="1">
        <v>5</v>
      </c>
      <c r="F6" s="1">
        <v>180000</v>
      </c>
      <c r="G6" s="8" t="s">
        <v>179</v>
      </c>
      <c r="H6" s="8" t="s">
        <v>341</v>
      </c>
      <c r="I6" s="1" t="str">
        <f>IF([1]!SalesData[[#This Row],[Units Sold]]&lt;= 10,"Low Units",IF([1]!SalesData[[#This Row],[Units Sold]]&lt;= 15,"Average Units","High Units"))</f>
        <v>Low Units</v>
      </c>
      <c r="J6" s="18">
        <f>[1]!SalesData[[#This Row],[Units Sold]]*[1]!SalesData[[#This Row],[Unit Price]]</f>
        <v>900000</v>
      </c>
    </row>
    <row r="7" spans="1:10" x14ac:dyDescent="0.35">
      <c r="A7" s="7">
        <v>45803</v>
      </c>
      <c r="B7" s="1" t="s">
        <v>99</v>
      </c>
      <c r="C7" s="1" t="s">
        <v>474</v>
      </c>
      <c r="D7" s="1" t="s">
        <v>20</v>
      </c>
      <c r="E7" s="1">
        <v>19</v>
      </c>
      <c r="F7" s="1">
        <v>180000</v>
      </c>
      <c r="G7" s="8" t="s">
        <v>494</v>
      </c>
      <c r="H7" s="8" t="s">
        <v>17</v>
      </c>
      <c r="I7" s="1" t="str">
        <f>IF([1]!SalesData[[#This Row],[Units Sold]]&lt;= 10,"Low Units",IF([1]!SalesData[[#This Row],[Units Sold]]&lt;= 15,"Average Units","High Units"))</f>
        <v>High Units</v>
      </c>
      <c r="J7" s="18">
        <f>[1]!SalesData[[#This Row],[Units Sold]]*[1]!SalesData[[#This Row],[Unit Price]]</f>
        <v>3420000</v>
      </c>
    </row>
    <row r="8" spans="1:10" x14ac:dyDescent="0.35">
      <c r="A8" s="7">
        <v>45783</v>
      </c>
      <c r="B8" s="1" t="s">
        <v>59</v>
      </c>
      <c r="C8" s="1" t="s">
        <v>473</v>
      </c>
      <c r="D8" s="1" t="s">
        <v>165</v>
      </c>
      <c r="E8" s="1">
        <v>3</v>
      </c>
      <c r="F8" s="1">
        <v>350000</v>
      </c>
      <c r="G8" s="8" t="s">
        <v>74</v>
      </c>
      <c r="H8" s="8" t="s">
        <v>341</v>
      </c>
      <c r="I8" s="1" t="str">
        <f>IF([1]!SalesData[[#This Row],[Units Sold]]&lt;= 10,"Low Units",IF([1]!SalesData[[#This Row],[Units Sold]]&lt;= 15,"Average Units","High Units"))</f>
        <v>Low Units</v>
      </c>
      <c r="J8" s="18">
        <f>[1]!SalesData[[#This Row],[Units Sold]]*[1]!SalesData[[#This Row],[Unit Price]]</f>
        <v>1050000</v>
      </c>
    </row>
    <row r="9" spans="1:10" x14ac:dyDescent="0.35">
      <c r="A9" s="7">
        <v>45698</v>
      </c>
      <c r="B9" s="1" t="s">
        <v>59</v>
      </c>
      <c r="C9" s="1" t="s">
        <v>475</v>
      </c>
      <c r="D9" s="1" t="s">
        <v>484</v>
      </c>
      <c r="E9" s="1">
        <v>2</v>
      </c>
      <c r="F9" s="1">
        <v>65000</v>
      </c>
      <c r="G9" s="8" t="s">
        <v>179</v>
      </c>
      <c r="H9" s="8" t="s">
        <v>17</v>
      </c>
      <c r="I9" s="1" t="str">
        <f>IF([1]!SalesData[[#This Row],[Units Sold]]&lt;= 10,"Low Units",IF([1]!SalesData[[#This Row],[Units Sold]]&lt;= 15,"Average Units","High Units"))</f>
        <v>Low Units</v>
      </c>
      <c r="J9" s="18">
        <f>[1]!SalesData[[#This Row],[Units Sold]]*[1]!SalesData[[#This Row],[Unit Price]]</f>
        <v>130000</v>
      </c>
    </row>
    <row r="10" spans="1:10" x14ac:dyDescent="0.35">
      <c r="A10" s="7">
        <v>45689</v>
      </c>
      <c r="B10" s="1" t="s">
        <v>99</v>
      </c>
      <c r="C10" s="1" t="s">
        <v>476</v>
      </c>
      <c r="D10" s="1" t="s">
        <v>110</v>
      </c>
      <c r="E10" s="1">
        <v>14</v>
      </c>
      <c r="F10" s="1">
        <v>175000</v>
      </c>
      <c r="G10" s="8" t="s">
        <v>319</v>
      </c>
      <c r="H10" s="14" t="s">
        <v>486</v>
      </c>
      <c r="I10" s="1" t="str">
        <f>IF([1]!SalesData[[#This Row],[Units Sold]]&lt;= 10,"Low Units",IF([1]!SalesData[[#This Row],[Units Sold]]&lt;= 15,"Average Units","High Units"))</f>
        <v>Average Units</v>
      </c>
      <c r="J10" s="18">
        <f>[1]!SalesData[[#This Row],[Units Sold]]*[1]!SalesData[[#This Row],[Unit Price]]</f>
        <v>2450000</v>
      </c>
    </row>
    <row r="11" spans="1:10" x14ac:dyDescent="0.35">
      <c r="A11" s="7">
        <v>45836</v>
      </c>
      <c r="B11" s="1" t="s">
        <v>59</v>
      </c>
      <c r="C11" s="1" t="s">
        <v>105</v>
      </c>
      <c r="D11" s="1" t="s">
        <v>20</v>
      </c>
      <c r="E11" s="1">
        <v>4</v>
      </c>
      <c r="F11" s="1">
        <v>150000</v>
      </c>
      <c r="G11" s="8" t="s">
        <v>179</v>
      </c>
      <c r="H11" s="8" t="s">
        <v>63</v>
      </c>
      <c r="I11" s="1" t="str">
        <f>IF([1]!SalesData[[#This Row],[Units Sold]]&lt;= 10,"Low Units",IF([1]!SalesData[[#This Row],[Units Sold]]&lt;= 15,"Average Units","High Units"))</f>
        <v>Low Units</v>
      </c>
      <c r="J11" s="18">
        <f>[1]!SalesData[[#This Row],[Units Sold]]*[1]!SalesData[[#This Row],[Unit Price]]</f>
        <v>600000</v>
      </c>
    </row>
    <row r="12" spans="1:10" x14ac:dyDescent="0.35">
      <c r="A12" s="7">
        <v>45765</v>
      </c>
      <c r="B12" s="1" t="s">
        <v>8</v>
      </c>
      <c r="C12" s="1" t="s">
        <v>105</v>
      </c>
      <c r="D12" s="1" t="s">
        <v>20</v>
      </c>
      <c r="E12" s="1">
        <v>20</v>
      </c>
      <c r="F12" s="1">
        <v>150000</v>
      </c>
      <c r="G12" s="8" t="s">
        <v>319</v>
      </c>
      <c r="H12" s="8" t="s">
        <v>17</v>
      </c>
      <c r="I12" s="1" t="str">
        <f>IF([1]!SalesData[[#This Row],[Units Sold]]&lt;= 10,"Low Units",IF([1]!SalesData[[#This Row],[Units Sold]]&lt;= 15,"Average Units","High Units"))</f>
        <v>High Units</v>
      </c>
      <c r="J12" s="18">
        <f>[1]!SalesData[[#This Row],[Units Sold]]*[1]!SalesData[[#This Row],[Unit Price]]</f>
        <v>3000000</v>
      </c>
    </row>
    <row r="13" spans="1:10" x14ac:dyDescent="0.35">
      <c r="A13" s="7">
        <v>45713</v>
      </c>
      <c r="B13" s="1" t="s">
        <v>18</v>
      </c>
      <c r="C13" s="1" t="s">
        <v>477</v>
      </c>
      <c r="D13" s="1" t="s">
        <v>226</v>
      </c>
      <c r="E13" s="1">
        <v>6</v>
      </c>
      <c r="F13" s="1">
        <v>85000</v>
      </c>
      <c r="G13" s="8" t="s">
        <v>74</v>
      </c>
      <c r="H13" s="8" t="s">
        <v>75</v>
      </c>
      <c r="I13" s="1" t="str">
        <f>IF([1]!SalesData[[#This Row],[Units Sold]]&lt;= 10,"Low Units",IF([1]!SalesData[[#This Row],[Units Sold]]&lt;= 15,"Average Units","High Units"))</f>
        <v>Low Units</v>
      </c>
      <c r="J13" s="18">
        <f>[1]!SalesData[[#This Row],[Units Sold]]*[1]!SalesData[[#This Row],[Unit Price]]</f>
        <v>510000</v>
      </c>
    </row>
    <row r="14" spans="1:10" x14ac:dyDescent="0.35">
      <c r="A14" s="7">
        <v>45776</v>
      </c>
      <c r="B14" s="1" t="s">
        <v>59</v>
      </c>
      <c r="C14" s="1" t="s">
        <v>105</v>
      </c>
      <c r="D14" s="1" t="s">
        <v>20</v>
      </c>
      <c r="E14" s="1">
        <v>1</v>
      </c>
      <c r="F14" s="1">
        <v>150000</v>
      </c>
      <c r="G14" s="8" t="s">
        <v>74</v>
      </c>
      <c r="H14" s="8" t="s">
        <v>488</v>
      </c>
      <c r="I14" s="1" t="str">
        <f>IF([1]!SalesData[[#This Row],[Units Sold]]&lt;= 10,"Low Units",IF([1]!SalesData[[#This Row],[Units Sold]]&lt;= 15,"Average Units","High Units"))</f>
        <v>Low Units</v>
      </c>
      <c r="J14" s="18">
        <f>[1]!SalesData[[#This Row],[Units Sold]]*[1]!SalesData[[#This Row],[Unit Price]]</f>
        <v>150000</v>
      </c>
    </row>
    <row r="15" spans="1:10" x14ac:dyDescent="0.35">
      <c r="A15" s="7">
        <v>45690</v>
      </c>
      <c r="B15" s="1" t="s">
        <v>99</v>
      </c>
      <c r="C15" s="1" t="s">
        <v>473</v>
      </c>
      <c r="D15" s="1" t="s">
        <v>165</v>
      </c>
      <c r="E15" s="1">
        <v>18</v>
      </c>
      <c r="F15" s="1">
        <v>350000</v>
      </c>
      <c r="G15" s="8" t="s">
        <v>116</v>
      </c>
      <c r="H15" s="8" t="s">
        <v>489</v>
      </c>
      <c r="I15" s="1" t="str">
        <f>IF([1]!SalesData[[#This Row],[Units Sold]]&lt;= 10,"Low Units",IF([1]!SalesData[[#This Row],[Units Sold]]&lt;= 15,"Average Units","High Units"))</f>
        <v>High Units</v>
      </c>
      <c r="J15" s="18">
        <f>[1]!SalesData[[#This Row],[Units Sold]]*[1]!SalesData[[#This Row],[Unit Price]]</f>
        <v>6300000</v>
      </c>
    </row>
    <row r="16" spans="1:10" x14ac:dyDescent="0.35">
      <c r="A16" s="7">
        <v>45762</v>
      </c>
      <c r="B16" s="1" t="s">
        <v>8</v>
      </c>
      <c r="C16" s="1" t="s">
        <v>477</v>
      </c>
      <c r="D16" s="1" t="s">
        <v>226</v>
      </c>
      <c r="E16" s="1">
        <v>2</v>
      </c>
      <c r="F16" s="1">
        <v>85000</v>
      </c>
      <c r="G16" s="8" t="s">
        <v>494</v>
      </c>
      <c r="H16" s="14" t="s">
        <v>486</v>
      </c>
      <c r="I16" s="1" t="str">
        <f>IF([1]!SalesData[[#This Row],[Units Sold]]&lt;= 10,"Low Units",IF([1]!SalesData[[#This Row],[Units Sold]]&lt;= 15,"Average Units","High Units"))</f>
        <v>Low Units</v>
      </c>
      <c r="J16" s="18">
        <f>[1]!SalesData[[#This Row],[Units Sold]]*[1]!SalesData[[#This Row],[Unit Price]]</f>
        <v>170000</v>
      </c>
    </row>
    <row r="17" spans="1:10" x14ac:dyDescent="0.35">
      <c r="A17" s="7">
        <v>45820</v>
      </c>
      <c r="B17" s="1" t="s">
        <v>99</v>
      </c>
      <c r="C17" s="1" t="s">
        <v>475</v>
      </c>
      <c r="D17" s="1" t="s">
        <v>484</v>
      </c>
      <c r="E17" s="1">
        <v>11</v>
      </c>
      <c r="F17" s="1">
        <v>65000</v>
      </c>
      <c r="G17" s="8" t="s">
        <v>116</v>
      </c>
      <c r="H17" s="8" t="s">
        <v>490</v>
      </c>
      <c r="I17" s="1" t="str">
        <f>IF([1]!SalesData[[#This Row],[Units Sold]]&lt;= 10,"Low Units",IF([1]!SalesData[[#This Row],[Units Sold]]&lt;= 15,"Average Units","High Units"))</f>
        <v>Average Units</v>
      </c>
      <c r="J17" s="18">
        <f>[1]!SalesData[[#This Row],[Units Sold]]*[1]!SalesData[[#This Row],[Unit Price]]</f>
        <v>715000</v>
      </c>
    </row>
    <row r="18" spans="1:10" x14ac:dyDescent="0.35">
      <c r="A18" s="7">
        <v>45688</v>
      </c>
      <c r="B18" s="1" t="s">
        <v>99</v>
      </c>
      <c r="C18" s="1" t="s">
        <v>476</v>
      </c>
      <c r="D18" s="1" t="s">
        <v>110</v>
      </c>
      <c r="E18" s="1">
        <v>10</v>
      </c>
      <c r="F18" s="1">
        <v>175000</v>
      </c>
      <c r="G18" s="8" t="s">
        <v>319</v>
      </c>
      <c r="H18" s="8" t="s">
        <v>75</v>
      </c>
      <c r="I18" s="1" t="str">
        <f>IF([1]!SalesData[[#This Row],[Units Sold]]&lt;= 10,"Low Units",IF([1]!SalesData[[#This Row],[Units Sold]]&lt;= 15,"Average Units","High Units"))</f>
        <v>Low Units</v>
      </c>
      <c r="J18" s="18">
        <f>[1]!SalesData[[#This Row],[Units Sold]]*[1]!SalesData[[#This Row],[Unit Price]]</f>
        <v>1750000</v>
      </c>
    </row>
    <row r="19" spans="1:10" x14ac:dyDescent="0.35">
      <c r="A19" s="7">
        <v>45690</v>
      </c>
      <c r="B19" s="1" t="s">
        <v>59</v>
      </c>
      <c r="C19" s="1" t="s">
        <v>105</v>
      </c>
      <c r="D19" s="1" t="s">
        <v>20</v>
      </c>
      <c r="E19" s="1">
        <v>4</v>
      </c>
      <c r="F19" s="1">
        <v>150000</v>
      </c>
      <c r="G19" s="8" t="s">
        <v>437</v>
      </c>
      <c r="H19" s="8" t="s">
        <v>491</v>
      </c>
      <c r="I19" s="1" t="str">
        <f>IF([1]!SalesData[[#This Row],[Units Sold]]&lt;= 10,"Low Units",IF([1]!SalesData[[#This Row],[Units Sold]]&lt;= 15,"Average Units","High Units"))</f>
        <v>Low Units</v>
      </c>
      <c r="J19" s="18">
        <f>[1]!SalesData[[#This Row],[Units Sold]]*[1]!SalesData[[#This Row],[Unit Price]]</f>
        <v>600000</v>
      </c>
    </row>
    <row r="20" spans="1:10" x14ac:dyDescent="0.35">
      <c r="A20" s="7">
        <v>45802</v>
      </c>
      <c r="B20" s="1" t="s">
        <v>59</v>
      </c>
      <c r="C20" s="1" t="s">
        <v>476</v>
      </c>
      <c r="D20" s="1" t="s">
        <v>110</v>
      </c>
      <c r="E20" s="1">
        <v>3</v>
      </c>
      <c r="F20" s="1">
        <v>175000</v>
      </c>
      <c r="G20" s="8" t="s">
        <v>495</v>
      </c>
      <c r="H20" s="8" t="s">
        <v>260</v>
      </c>
      <c r="I20" s="1" t="str">
        <f>IF([1]!SalesData[[#This Row],[Units Sold]]&lt;= 10,"Low Units",IF([1]!SalesData[[#This Row],[Units Sold]]&lt;= 15,"Average Units","High Units"))</f>
        <v>Low Units</v>
      </c>
      <c r="J20" s="18">
        <f>[1]!SalesData[[#This Row],[Units Sold]]*[1]!SalesData[[#This Row],[Unit Price]]</f>
        <v>525000</v>
      </c>
    </row>
    <row r="21" spans="1:10" x14ac:dyDescent="0.35">
      <c r="A21" s="7">
        <v>45714</v>
      </c>
      <c r="B21" s="1" t="s">
        <v>18</v>
      </c>
      <c r="C21" s="1" t="s">
        <v>476</v>
      </c>
      <c r="D21" s="1" t="s">
        <v>110</v>
      </c>
      <c r="E21" s="1">
        <v>5</v>
      </c>
      <c r="F21" s="1">
        <v>175000</v>
      </c>
      <c r="G21" s="8" t="s">
        <v>116</v>
      </c>
      <c r="H21" s="8" t="s">
        <v>260</v>
      </c>
      <c r="I21" s="1" t="str">
        <f>IF([1]!SalesData[[#This Row],[Units Sold]]&lt;= 10,"Low Units",IF([1]!SalesData[[#This Row],[Units Sold]]&lt;= 15,"Average Units","High Units"))</f>
        <v>Low Units</v>
      </c>
      <c r="J21" s="18">
        <f>[1]!SalesData[[#This Row],[Units Sold]]*[1]!SalesData[[#This Row],[Unit Price]]</f>
        <v>875000</v>
      </c>
    </row>
    <row r="22" spans="1:10" x14ac:dyDescent="0.35">
      <c r="A22" s="7">
        <v>45753</v>
      </c>
      <c r="B22" s="1" t="s">
        <v>99</v>
      </c>
      <c r="C22" s="1" t="s">
        <v>119</v>
      </c>
      <c r="D22" s="1" t="s">
        <v>120</v>
      </c>
      <c r="E22" s="1">
        <v>20</v>
      </c>
      <c r="F22" s="1">
        <v>250000</v>
      </c>
      <c r="G22" s="8" t="s">
        <v>495</v>
      </c>
      <c r="H22" s="8" t="s">
        <v>17</v>
      </c>
      <c r="I22" s="1" t="str">
        <f>IF([1]!SalesData[[#This Row],[Units Sold]]&lt;= 10,"Low Units",IF([1]!SalesData[[#This Row],[Units Sold]]&lt;= 15,"Average Units","High Units"))</f>
        <v>High Units</v>
      </c>
      <c r="J22" s="18">
        <f>[1]!SalesData[[#This Row],[Units Sold]]*[1]!SalesData[[#This Row],[Unit Price]]</f>
        <v>5000000</v>
      </c>
    </row>
    <row r="23" spans="1:10" x14ac:dyDescent="0.35">
      <c r="A23" s="7">
        <v>45712</v>
      </c>
      <c r="B23" s="1" t="s">
        <v>99</v>
      </c>
      <c r="C23" s="1" t="s">
        <v>476</v>
      </c>
      <c r="D23" s="1" t="s">
        <v>110</v>
      </c>
      <c r="E23" s="1">
        <v>2</v>
      </c>
      <c r="F23" s="1">
        <v>175000</v>
      </c>
      <c r="G23" s="8" t="s">
        <v>179</v>
      </c>
      <c r="H23" s="8" t="s">
        <v>489</v>
      </c>
      <c r="I23" s="1" t="str">
        <f>IF([1]!SalesData[[#This Row],[Units Sold]]&lt;= 10,"Low Units",IF([1]!SalesData[[#This Row],[Units Sold]]&lt;= 15,"Average Units","High Units"))</f>
        <v>Low Units</v>
      </c>
      <c r="J23" s="18">
        <f>[1]!SalesData[[#This Row],[Units Sold]]*[1]!SalesData[[#This Row],[Unit Price]]</f>
        <v>350000</v>
      </c>
    </row>
    <row r="24" spans="1:10" x14ac:dyDescent="0.35">
      <c r="A24" s="7">
        <v>45740</v>
      </c>
      <c r="B24" s="1" t="s">
        <v>99</v>
      </c>
      <c r="C24" s="1" t="s">
        <v>105</v>
      </c>
      <c r="D24" s="1" t="s">
        <v>20</v>
      </c>
      <c r="E24" s="1">
        <v>20</v>
      </c>
      <c r="F24" s="1">
        <v>150000</v>
      </c>
      <c r="G24" s="8" t="s">
        <v>319</v>
      </c>
      <c r="H24" s="8" t="s">
        <v>131</v>
      </c>
      <c r="I24" s="1" t="str">
        <f>IF([1]!SalesData[[#This Row],[Units Sold]]&lt;= 10,"Low Units",IF([1]!SalesData[[#This Row],[Units Sold]]&lt;= 15,"Average Units","High Units"))</f>
        <v>High Units</v>
      </c>
      <c r="J24" s="18">
        <f>[1]!SalesData[[#This Row],[Units Sold]]*[1]!SalesData[[#This Row],[Unit Price]]</f>
        <v>3000000</v>
      </c>
    </row>
    <row r="25" spans="1:10" x14ac:dyDescent="0.35">
      <c r="A25" s="7">
        <v>45805</v>
      </c>
      <c r="B25" s="1" t="s">
        <v>18</v>
      </c>
      <c r="C25" s="1" t="s">
        <v>105</v>
      </c>
      <c r="D25" s="1" t="s">
        <v>20</v>
      </c>
      <c r="E25" s="1">
        <v>8</v>
      </c>
      <c r="F25" s="1">
        <v>150000</v>
      </c>
      <c r="G25" s="8" t="s">
        <v>494</v>
      </c>
      <c r="H25" s="8" t="s">
        <v>75</v>
      </c>
      <c r="I25" s="1" t="str">
        <f>IF([1]!SalesData[[#This Row],[Units Sold]]&lt;= 10,"Low Units",IF([1]!SalesData[[#This Row],[Units Sold]]&lt;= 15,"Average Units","High Units"))</f>
        <v>Low Units</v>
      </c>
      <c r="J25" s="18">
        <f>[1]!SalesData[[#This Row],[Units Sold]]*[1]!SalesData[[#This Row],[Unit Price]]</f>
        <v>1200000</v>
      </c>
    </row>
    <row r="26" spans="1:10" x14ac:dyDescent="0.35">
      <c r="A26" s="7">
        <v>45789</v>
      </c>
      <c r="B26" s="1" t="s">
        <v>59</v>
      </c>
      <c r="C26" s="1" t="s">
        <v>119</v>
      </c>
      <c r="D26" s="1" t="s">
        <v>120</v>
      </c>
      <c r="E26" s="1">
        <v>19</v>
      </c>
      <c r="F26" s="1">
        <v>250000</v>
      </c>
      <c r="G26" s="8" t="s">
        <v>495</v>
      </c>
      <c r="H26" s="8" t="s">
        <v>260</v>
      </c>
      <c r="I26" s="1" t="str">
        <f>IF([1]!SalesData[[#This Row],[Units Sold]]&lt;= 10,"Low Units",IF([1]!SalesData[[#This Row],[Units Sold]]&lt;= 15,"Average Units","High Units"))</f>
        <v>High Units</v>
      </c>
      <c r="J26" s="18">
        <f>[1]!SalesData[[#This Row],[Units Sold]]*[1]!SalesData[[#This Row],[Unit Price]]</f>
        <v>4750000</v>
      </c>
    </row>
    <row r="27" spans="1:10" x14ac:dyDescent="0.35">
      <c r="A27" s="7">
        <v>45788</v>
      </c>
      <c r="B27" s="1" t="s">
        <v>99</v>
      </c>
      <c r="C27" s="1" t="s">
        <v>476</v>
      </c>
      <c r="D27" s="1" t="s">
        <v>110</v>
      </c>
      <c r="E27" s="1">
        <v>12</v>
      </c>
      <c r="F27" s="1">
        <v>175000</v>
      </c>
      <c r="G27" s="8" t="s">
        <v>116</v>
      </c>
      <c r="H27" s="8" t="s">
        <v>75</v>
      </c>
      <c r="I27" s="1" t="str">
        <f>IF([1]!SalesData[[#This Row],[Units Sold]]&lt;= 10,"Low Units",IF([1]!SalesData[[#This Row],[Units Sold]]&lt;= 15,"Average Units","High Units"))</f>
        <v>Average Units</v>
      </c>
      <c r="J27" s="18">
        <f>[1]!SalesData[[#This Row],[Units Sold]]*[1]!SalesData[[#This Row],[Unit Price]]</f>
        <v>2100000</v>
      </c>
    </row>
    <row r="28" spans="1:10" x14ac:dyDescent="0.35">
      <c r="A28" s="7">
        <v>45673</v>
      </c>
      <c r="B28" s="1" t="s">
        <v>18</v>
      </c>
      <c r="C28" s="1" t="s">
        <v>477</v>
      </c>
      <c r="D28" s="1" t="s">
        <v>226</v>
      </c>
      <c r="E28" s="1">
        <v>11</v>
      </c>
      <c r="F28" s="1">
        <v>85000</v>
      </c>
      <c r="G28" s="8" t="s">
        <v>495</v>
      </c>
      <c r="H28" s="8" t="s">
        <v>260</v>
      </c>
      <c r="I28" s="1" t="str">
        <f>IF([1]!SalesData[[#This Row],[Units Sold]]&lt;= 10,"Low Units",IF([1]!SalesData[[#This Row],[Units Sold]]&lt;= 15,"Average Units","High Units"))</f>
        <v>Average Units</v>
      </c>
      <c r="J28" s="18">
        <f>[1]!SalesData[[#This Row],[Units Sold]]*[1]!SalesData[[#This Row],[Unit Price]]</f>
        <v>935000</v>
      </c>
    </row>
    <row r="29" spans="1:10" x14ac:dyDescent="0.35">
      <c r="A29" s="7">
        <v>45787</v>
      </c>
      <c r="B29" s="1" t="s">
        <v>18</v>
      </c>
      <c r="C29" s="1" t="s">
        <v>475</v>
      </c>
      <c r="D29" s="1" t="s">
        <v>484</v>
      </c>
      <c r="E29" s="1">
        <v>17</v>
      </c>
      <c r="F29" s="1">
        <v>65000</v>
      </c>
      <c r="G29" s="8" t="s">
        <v>116</v>
      </c>
      <c r="H29" s="8" t="s">
        <v>488</v>
      </c>
      <c r="I29" s="1" t="str">
        <f>IF([1]!SalesData[[#This Row],[Units Sold]]&lt;= 10,"Low Units",IF([1]!SalesData[[#This Row],[Units Sold]]&lt;= 15,"Average Units","High Units"))</f>
        <v>High Units</v>
      </c>
      <c r="J29" s="18">
        <f>[1]!SalesData[[#This Row],[Units Sold]]*[1]!SalesData[[#This Row],[Unit Price]]</f>
        <v>1105000</v>
      </c>
    </row>
    <row r="30" spans="1:10" x14ac:dyDescent="0.35">
      <c r="A30" s="7">
        <v>45689</v>
      </c>
      <c r="B30" s="1" t="s">
        <v>8</v>
      </c>
      <c r="C30" s="1" t="s">
        <v>473</v>
      </c>
      <c r="D30" s="1" t="s">
        <v>165</v>
      </c>
      <c r="E30" s="1">
        <v>15</v>
      </c>
      <c r="F30" s="1">
        <v>350000</v>
      </c>
      <c r="G30" s="8" t="s">
        <v>471</v>
      </c>
      <c r="H30" s="8" t="s">
        <v>487</v>
      </c>
      <c r="I30" s="1" t="str">
        <f>IF([1]!SalesData[[#This Row],[Units Sold]]&lt;= 10,"Low Units",IF([1]!SalesData[[#This Row],[Units Sold]]&lt;= 15,"Average Units","High Units"))</f>
        <v>Average Units</v>
      </c>
      <c r="J30" s="18">
        <f>[1]!SalesData[[#This Row],[Units Sold]]*[1]!SalesData[[#This Row],[Unit Price]]</f>
        <v>5250000</v>
      </c>
    </row>
    <row r="31" spans="1:10" x14ac:dyDescent="0.35">
      <c r="A31" s="7">
        <v>45694</v>
      </c>
      <c r="B31" s="1" t="s">
        <v>59</v>
      </c>
      <c r="C31" s="1" t="s">
        <v>473</v>
      </c>
      <c r="D31" s="1" t="s">
        <v>165</v>
      </c>
      <c r="E31" s="1">
        <v>8</v>
      </c>
      <c r="F31" s="1">
        <v>350000</v>
      </c>
      <c r="G31" s="8" t="s">
        <v>179</v>
      </c>
      <c r="H31" s="8" t="s">
        <v>260</v>
      </c>
      <c r="I31" s="1" t="str">
        <f>IF([1]!SalesData[[#This Row],[Units Sold]]&lt;= 10,"Low Units",IF([1]!SalesData[[#This Row],[Units Sold]]&lt;= 15,"Average Units","High Units"))</f>
        <v>Low Units</v>
      </c>
      <c r="J31" s="18">
        <f>[1]!SalesData[[#This Row],[Units Sold]]*[1]!SalesData[[#This Row],[Unit Price]]</f>
        <v>2800000</v>
      </c>
    </row>
    <row r="32" spans="1:10" x14ac:dyDescent="0.35">
      <c r="A32" s="7">
        <v>45825</v>
      </c>
      <c r="B32" s="1" t="s">
        <v>59</v>
      </c>
      <c r="C32" s="1" t="s">
        <v>473</v>
      </c>
      <c r="D32" s="1" t="s">
        <v>165</v>
      </c>
      <c r="E32" s="1">
        <v>14</v>
      </c>
      <c r="F32" s="1">
        <v>350000</v>
      </c>
      <c r="G32" s="8" t="s">
        <v>116</v>
      </c>
      <c r="H32" s="8" t="s">
        <v>492</v>
      </c>
      <c r="I32" s="1" t="str">
        <f>IF([1]!SalesData[[#This Row],[Units Sold]]&lt;= 10,"Low Units",IF([1]!SalesData[[#This Row],[Units Sold]]&lt;= 15,"Average Units","High Units"))</f>
        <v>Average Units</v>
      </c>
      <c r="J32" s="18">
        <f>[1]!SalesData[[#This Row],[Units Sold]]*[1]!SalesData[[#This Row],[Unit Price]]</f>
        <v>4900000</v>
      </c>
    </row>
    <row r="33" spans="1:10" x14ac:dyDescent="0.35">
      <c r="A33" s="7">
        <v>45666</v>
      </c>
      <c r="B33" s="1" t="s">
        <v>99</v>
      </c>
      <c r="C33" s="1" t="s">
        <v>105</v>
      </c>
      <c r="D33" s="1" t="s">
        <v>20</v>
      </c>
      <c r="E33" s="1">
        <v>12</v>
      </c>
      <c r="F33" s="1">
        <v>150000</v>
      </c>
      <c r="G33" s="8" t="s">
        <v>319</v>
      </c>
      <c r="H33" s="8" t="s">
        <v>63</v>
      </c>
      <c r="I33" s="1" t="str">
        <f>IF([1]!SalesData[[#This Row],[Units Sold]]&lt;= 10,"Low Units",IF([1]!SalesData[[#This Row],[Units Sold]]&lt;= 15,"Average Units","High Units"))</f>
        <v>Average Units</v>
      </c>
      <c r="J33" s="18">
        <f>[1]!SalesData[[#This Row],[Units Sold]]*[1]!SalesData[[#This Row],[Unit Price]]</f>
        <v>1800000</v>
      </c>
    </row>
    <row r="34" spans="1:10" x14ac:dyDescent="0.35">
      <c r="A34" s="7">
        <v>45837</v>
      </c>
      <c r="B34" s="1" t="s">
        <v>18</v>
      </c>
      <c r="C34" s="1" t="s">
        <v>476</v>
      </c>
      <c r="D34" s="1" t="s">
        <v>110</v>
      </c>
      <c r="E34" s="1">
        <v>8</v>
      </c>
      <c r="F34" s="1">
        <v>175000</v>
      </c>
      <c r="G34" s="8" t="s">
        <v>179</v>
      </c>
      <c r="H34" s="8" t="s">
        <v>63</v>
      </c>
      <c r="I34" s="1" t="str">
        <f>IF([1]!SalesData[[#This Row],[Units Sold]]&lt;= 10,"Low Units",IF([1]!SalesData[[#This Row],[Units Sold]]&lt;= 15,"Average Units","High Units"))</f>
        <v>Low Units</v>
      </c>
      <c r="J34" s="18">
        <f>[1]!SalesData[[#This Row],[Units Sold]]*[1]!SalesData[[#This Row],[Unit Price]]</f>
        <v>1400000</v>
      </c>
    </row>
    <row r="35" spans="1:10" x14ac:dyDescent="0.35">
      <c r="A35" s="7">
        <v>45735</v>
      </c>
      <c r="B35" s="1" t="s">
        <v>8</v>
      </c>
      <c r="C35" s="1" t="s">
        <v>105</v>
      </c>
      <c r="D35" s="1" t="s">
        <v>20</v>
      </c>
      <c r="E35" s="1">
        <v>6</v>
      </c>
      <c r="F35" s="1">
        <v>150000</v>
      </c>
      <c r="G35" s="8" t="s">
        <v>179</v>
      </c>
      <c r="H35" s="8" t="s">
        <v>260</v>
      </c>
      <c r="I35" s="1" t="str">
        <f>IF([1]!SalesData[[#This Row],[Units Sold]]&lt;= 10,"Low Units",IF([1]!SalesData[[#This Row],[Units Sold]]&lt;= 15,"Average Units","High Units"))</f>
        <v>Low Units</v>
      </c>
      <c r="J35" s="18">
        <f>[1]!SalesData[[#This Row],[Units Sold]]*[1]!SalesData[[#This Row],[Unit Price]]</f>
        <v>900000</v>
      </c>
    </row>
    <row r="36" spans="1:10" x14ac:dyDescent="0.35">
      <c r="A36" s="7">
        <v>45694</v>
      </c>
      <c r="B36" s="1" t="s">
        <v>59</v>
      </c>
      <c r="C36" s="1" t="s">
        <v>119</v>
      </c>
      <c r="D36" s="1" t="s">
        <v>120</v>
      </c>
      <c r="E36" s="1">
        <v>20</v>
      </c>
      <c r="F36" s="1">
        <v>250000</v>
      </c>
      <c r="G36" s="8" t="s">
        <v>179</v>
      </c>
      <c r="H36" s="8" t="s">
        <v>75</v>
      </c>
      <c r="I36" s="1" t="str">
        <f>IF([1]!SalesData[[#This Row],[Units Sold]]&lt;= 10,"Low Units",IF([1]!SalesData[[#This Row],[Units Sold]]&lt;= 15,"Average Units","High Units"))</f>
        <v>High Units</v>
      </c>
      <c r="J36" s="18">
        <f>[1]!SalesData[[#This Row],[Units Sold]]*[1]!SalesData[[#This Row],[Unit Price]]</f>
        <v>5000000</v>
      </c>
    </row>
    <row r="37" spans="1:10" x14ac:dyDescent="0.35">
      <c r="A37" s="7">
        <v>45753</v>
      </c>
      <c r="B37" s="1" t="s">
        <v>8</v>
      </c>
      <c r="C37" s="1" t="s">
        <v>475</v>
      </c>
      <c r="D37" s="1" t="s">
        <v>484</v>
      </c>
      <c r="E37" s="1">
        <v>12</v>
      </c>
      <c r="F37" s="1">
        <v>65000</v>
      </c>
      <c r="G37" s="8" t="s">
        <v>179</v>
      </c>
      <c r="H37" s="8" t="s">
        <v>131</v>
      </c>
      <c r="I37" s="1" t="str">
        <f>IF([1]!SalesData[[#This Row],[Units Sold]]&lt;= 10,"Low Units",IF([1]!SalesData[[#This Row],[Units Sold]]&lt;= 15,"Average Units","High Units"))</f>
        <v>Average Units</v>
      </c>
      <c r="J37" s="18">
        <f>[1]!SalesData[[#This Row],[Units Sold]]*[1]!SalesData[[#This Row],[Unit Price]]</f>
        <v>780000</v>
      </c>
    </row>
    <row r="38" spans="1:10" x14ac:dyDescent="0.35">
      <c r="A38" s="7">
        <v>45695</v>
      </c>
      <c r="B38" s="1" t="s">
        <v>8</v>
      </c>
      <c r="C38" s="1" t="s">
        <v>475</v>
      </c>
      <c r="D38" s="1" t="s">
        <v>484</v>
      </c>
      <c r="E38" s="1">
        <v>4</v>
      </c>
      <c r="F38" s="1">
        <v>65000</v>
      </c>
      <c r="G38" s="8" t="s">
        <v>437</v>
      </c>
      <c r="H38" s="8" t="s">
        <v>492</v>
      </c>
      <c r="I38" s="1" t="str">
        <f>IF([1]!SalesData[[#This Row],[Units Sold]]&lt;= 10,"Low Units",IF([1]!SalesData[[#This Row],[Units Sold]]&lt;= 15,"Average Units","High Units"))</f>
        <v>Low Units</v>
      </c>
      <c r="J38" s="18">
        <f>[1]!SalesData[[#This Row],[Units Sold]]*[1]!SalesData[[#This Row],[Unit Price]]</f>
        <v>260000</v>
      </c>
    </row>
    <row r="39" spans="1:10" x14ac:dyDescent="0.35">
      <c r="A39" s="7">
        <v>45723</v>
      </c>
      <c r="B39" s="1" t="s">
        <v>99</v>
      </c>
      <c r="C39" s="1" t="s">
        <v>476</v>
      </c>
      <c r="D39" s="1" t="s">
        <v>110</v>
      </c>
      <c r="E39" s="1">
        <v>18</v>
      </c>
      <c r="F39" s="1">
        <v>175000</v>
      </c>
      <c r="G39" s="8" t="s">
        <v>495</v>
      </c>
      <c r="H39" s="14" t="s">
        <v>486</v>
      </c>
      <c r="I39" s="1" t="str">
        <f>IF([1]!SalesData[[#This Row],[Units Sold]]&lt;= 10,"Low Units",IF([1]!SalesData[[#This Row],[Units Sold]]&lt;= 15,"Average Units","High Units"))</f>
        <v>High Units</v>
      </c>
      <c r="J39" s="18">
        <f>[1]!SalesData[[#This Row],[Units Sold]]*[1]!SalesData[[#This Row],[Unit Price]]</f>
        <v>3150000</v>
      </c>
    </row>
    <row r="40" spans="1:10" x14ac:dyDescent="0.35">
      <c r="A40" s="7">
        <v>45784</v>
      </c>
      <c r="B40" s="1" t="s">
        <v>18</v>
      </c>
      <c r="C40" s="1" t="s">
        <v>474</v>
      </c>
      <c r="D40" s="1" t="s">
        <v>20</v>
      </c>
      <c r="E40" s="1">
        <v>10</v>
      </c>
      <c r="F40" s="1">
        <v>180000</v>
      </c>
      <c r="G40" s="8" t="s">
        <v>437</v>
      </c>
      <c r="H40" s="8" t="s">
        <v>341</v>
      </c>
      <c r="I40" s="1" t="str">
        <f>IF([1]!SalesData[[#This Row],[Units Sold]]&lt;= 10,"Low Units",IF([1]!SalesData[[#This Row],[Units Sold]]&lt;= 15,"Average Units","High Units"))</f>
        <v>Low Units</v>
      </c>
      <c r="J40" s="18">
        <f>[1]!SalesData[[#This Row],[Units Sold]]*[1]!SalesData[[#This Row],[Unit Price]]</f>
        <v>1800000</v>
      </c>
    </row>
    <row r="41" spans="1:10" x14ac:dyDescent="0.35">
      <c r="A41" s="7">
        <v>45838</v>
      </c>
      <c r="B41" s="1" t="s">
        <v>99</v>
      </c>
      <c r="C41" s="1" t="s">
        <v>475</v>
      </c>
      <c r="D41" s="1" t="s">
        <v>484</v>
      </c>
      <c r="E41" s="1">
        <v>10</v>
      </c>
      <c r="F41" s="1">
        <v>65000</v>
      </c>
      <c r="G41" s="8" t="s">
        <v>470</v>
      </c>
      <c r="H41" s="8" t="s">
        <v>17</v>
      </c>
      <c r="I41" s="1" t="str">
        <f>IF([1]!SalesData[[#This Row],[Units Sold]]&lt;= 10,"Low Units",IF([1]!SalesData[[#This Row],[Units Sold]]&lt;= 15,"Average Units","High Units"))</f>
        <v>Low Units</v>
      </c>
      <c r="J41" s="18">
        <f>[1]!SalesData[[#This Row],[Units Sold]]*[1]!SalesData[[#This Row],[Unit Price]]</f>
        <v>650000</v>
      </c>
    </row>
    <row r="42" spans="1:10" x14ac:dyDescent="0.35">
      <c r="A42" s="7">
        <v>45713</v>
      </c>
      <c r="B42" s="1" t="s">
        <v>18</v>
      </c>
      <c r="C42" s="1" t="s">
        <v>105</v>
      </c>
      <c r="D42" s="1" t="s">
        <v>20</v>
      </c>
      <c r="E42" s="1">
        <v>3</v>
      </c>
      <c r="F42" s="1">
        <v>150000</v>
      </c>
      <c r="G42" s="8" t="s">
        <v>437</v>
      </c>
      <c r="H42" s="8" t="s">
        <v>492</v>
      </c>
      <c r="I42" s="1" t="str">
        <f>IF([1]!SalesData[[#This Row],[Units Sold]]&lt;= 10,"Low Units",IF([1]!SalesData[[#This Row],[Units Sold]]&lt;= 15,"Average Units","High Units"))</f>
        <v>Low Units</v>
      </c>
      <c r="J42" s="18">
        <f>[1]!SalesData[[#This Row],[Units Sold]]*[1]!SalesData[[#This Row],[Unit Price]]</f>
        <v>450000</v>
      </c>
    </row>
    <row r="43" spans="1:10" x14ac:dyDescent="0.35">
      <c r="A43" s="7">
        <v>45670</v>
      </c>
      <c r="B43" s="1" t="s">
        <v>8</v>
      </c>
      <c r="C43" s="1" t="s">
        <v>474</v>
      </c>
      <c r="D43" s="1" t="s">
        <v>20</v>
      </c>
      <c r="E43" s="1">
        <v>8</v>
      </c>
      <c r="F43" s="1">
        <v>180000</v>
      </c>
      <c r="G43" s="8" t="s">
        <v>74</v>
      </c>
      <c r="H43" s="8" t="s">
        <v>75</v>
      </c>
      <c r="I43" s="1" t="str">
        <f>IF([1]!SalesData[[#This Row],[Units Sold]]&lt;= 10,"Low Units",IF([1]!SalesData[[#This Row],[Units Sold]]&lt;= 15,"Average Units","High Units"))</f>
        <v>Low Units</v>
      </c>
      <c r="J43" s="18">
        <f>[1]!SalesData[[#This Row],[Units Sold]]*[1]!SalesData[[#This Row],[Unit Price]]</f>
        <v>1440000</v>
      </c>
    </row>
    <row r="44" spans="1:10" x14ac:dyDescent="0.35">
      <c r="A44" s="7">
        <v>45823</v>
      </c>
      <c r="B44" s="1" t="s">
        <v>8</v>
      </c>
      <c r="C44" s="1" t="s">
        <v>119</v>
      </c>
      <c r="D44" s="1" t="s">
        <v>120</v>
      </c>
      <c r="E44" s="1">
        <v>3</v>
      </c>
      <c r="F44" s="1">
        <v>250000</v>
      </c>
      <c r="G44" s="8" t="s">
        <v>437</v>
      </c>
      <c r="H44" s="8" t="s">
        <v>341</v>
      </c>
      <c r="I44" s="1" t="str">
        <f>IF([1]!SalesData[[#This Row],[Units Sold]]&lt;= 10,"Low Units",IF([1]!SalesData[[#This Row],[Units Sold]]&lt;= 15,"Average Units","High Units"))</f>
        <v>Low Units</v>
      </c>
      <c r="J44" s="18">
        <f>[1]!SalesData[[#This Row],[Units Sold]]*[1]!SalesData[[#This Row],[Unit Price]]</f>
        <v>750000</v>
      </c>
    </row>
    <row r="45" spans="1:10" x14ac:dyDescent="0.35">
      <c r="A45" s="7">
        <v>45716</v>
      </c>
      <c r="B45" s="1" t="s">
        <v>99</v>
      </c>
      <c r="C45" s="1" t="s">
        <v>477</v>
      </c>
      <c r="D45" s="1" t="s">
        <v>226</v>
      </c>
      <c r="E45" s="1">
        <v>18</v>
      </c>
      <c r="F45" s="1">
        <v>85000</v>
      </c>
      <c r="G45" s="8" t="s">
        <v>494</v>
      </c>
      <c r="H45" s="8" t="s">
        <v>63</v>
      </c>
      <c r="I45" s="1" t="str">
        <f>IF([1]!SalesData[[#This Row],[Units Sold]]&lt;= 10,"Low Units",IF([1]!SalesData[[#This Row],[Units Sold]]&lt;= 15,"Average Units","High Units"))</f>
        <v>High Units</v>
      </c>
      <c r="J45" s="18">
        <f>[1]!SalesData[[#This Row],[Units Sold]]*[1]!SalesData[[#This Row],[Unit Price]]</f>
        <v>1530000</v>
      </c>
    </row>
    <row r="46" spans="1:10" x14ac:dyDescent="0.35">
      <c r="A46" s="7">
        <v>45707</v>
      </c>
      <c r="B46" s="1" t="s">
        <v>59</v>
      </c>
      <c r="C46" s="1" t="s">
        <v>105</v>
      </c>
      <c r="D46" s="1" t="s">
        <v>20</v>
      </c>
      <c r="E46" s="1">
        <v>9</v>
      </c>
      <c r="F46" s="1">
        <v>150000</v>
      </c>
      <c r="G46" s="8" t="s">
        <v>437</v>
      </c>
      <c r="H46" s="8" t="s">
        <v>488</v>
      </c>
      <c r="I46" s="1" t="str">
        <f>IF([1]!SalesData[[#This Row],[Units Sold]]&lt;= 10,"Low Units",IF([1]!SalesData[[#This Row],[Units Sold]]&lt;= 15,"Average Units","High Units"))</f>
        <v>Low Units</v>
      </c>
      <c r="J46" s="18">
        <f>[1]!SalesData[[#This Row],[Units Sold]]*[1]!SalesData[[#This Row],[Unit Price]]</f>
        <v>1350000</v>
      </c>
    </row>
    <row r="47" spans="1:10" x14ac:dyDescent="0.35">
      <c r="A47" s="7">
        <v>45719</v>
      </c>
      <c r="B47" s="1" t="s">
        <v>99</v>
      </c>
      <c r="C47" s="1" t="s">
        <v>105</v>
      </c>
      <c r="D47" s="1" t="s">
        <v>20</v>
      </c>
      <c r="E47" s="1">
        <v>18</v>
      </c>
      <c r="F47" s="1">
        <v>150000</v>
      </c>
      <c r="G47" s="8" t="s">
        <v>319</v>
      </c>
      <c r="H47" s="8" t="s">
        <v>63</v>
      </c>
      <c r="I47" s="1" t="str">
        <f>IF([1]!SalesData[[#This Row],[Units Sold]]&lt;= 10,"Low Units",IF([1]!SalesData[[#This Row],[Units Sold]]&lt;= 15,"Average Units","High Units"))</f>
        <v>High Units</v>
      </c>
      <c r="J47" s="18">
        <f>[1]!SalesData[[#This Row],[Units Sold]]*[1]!SalesData[[#This Row],[Unit Price]]</f>
        <v>2700000</v>
      </c>
    </row>
    <row r="48" spans="1:10" x14ac:dyDescent="0.35">
      <c r="A48" s="7">
        <v>45748</v>
      </c>
      <c r="B48" s="1" t="s">
        <v>59</v>
      </c>
      <c r="C48" s="1" t="s">
        <v>105</v>
      </c>
      <c r="D48" s="1" t="s">
        <v>20</v>
      </c>
      <c r="E48" s="1">
        <v>11</v>
      </c>
      <c r="F48" s="1">
        <v>150000</v>
      </c>
      <c r="G48" s="8" t="s">
        <v>437</v>
      </c>
      <c r="H48" s="8" t="s">
        <v>341</v>
      </c>
      <c r="I48" s="1" t="str">
        <f>IF([1]!SalesData[[#This Row],[Units Sold]]&lt;= 10,"Low Units",IF([1]!SalesData[[#This Row],[Units Sold]]&lt;= 15,"Average Units","High Units"))</f>
        <v>Average Units</v>
      </c>
      <c r="J48" s="18">
        <f>[1]!SalesData[[#This Row],[Units Sold]]*[1]!SalesData[[#This Row],[Unit Price]]</f>
        <v>1650000</v>
      </c>
    </row>
    <row r="49" spans="1:10" x14ac:dyDescent="0.35">
      <c r="A49" s="7">
        <v>45754</v>
      </c>
      <c r="B49" s="1" t="s">
        <v>8</v>
      </c>
      <c r="C49" s="1" t="s">
        <v>473</v>
      </c>
      <c r="D49" s="1" t="s">
        <v>165</v>
      </c>
      <c r="E49" s="1">
        <v>4</v>
      </c>
      <c r="F49" s="1">
        <v>350000</v>
      </c>
      <c r="G49" s="8" t="s">
        <v>495</v>
      </c>
      <c r="H49" s="8" t="s">
        <v>491</v>
      </c>
      <c r="I49" s="1" t="str">
        <f>IF([1]!SalesData[[#This Row],[Units Sold]]&lt;= 10,"Low Units",IF([1]!SalesData[[#This Row],[Units Sold]]&lt;= 15,"Average Units","High Units"))</f>
        <v>Low Units</v>
      </c>
      <c r="J49" s="18">
        <f>[1]!SalesData[[#This Row],[Units Sold]]*[1]!SalesData[[#This Row],[Unit Price]]</f>
        <v>1400000</v>
      </c>
    </row>
    <row r="50" spans="1:10" x14ac:dyDescent="0.35">
      <c r="A50" s="7">
        <v>45714</v>
      </c>
      <c r="B50" s="1" t="s">
        <v>8</v>
      </c>
      <c r="C50" s="1" t="s">
        <v>105</v>
      </c>
      <c r="D50" s="1" t="s">
        <v>20</v>
      </c>
      <c r="E50" s="1">
        <v>19</v>
      </c>
      <c r="F50" s="1">
        <v>150000</v>
      </c>
      <c r="G50" s="8" t="s">
        <v>469</v>
      </c>
      <c r="H50" s="8" t="s">
        <v>488</v>
      </c>
      <c r="I50" s="1" t="str">
        <f>IF([1]!SalesData[[#This Row],[Units Sold]]&lt;= 10,"Low Units",IF([1]!SalesData[[#This Row],[Units Sold]]&lt;= 15,"Average Units","High Units"))</f>
        <v>High Units</v>
      </c>
      <c r="J50" s="18">
        <f>[1]!SalesData[[#This Row],[Units Sold]]*[1]!SalesData[[#This Row],[Unit Price]]</f>
        <v>2850000</v>
      </c>
    </row>
    <row r="51" spans="1:10" x14ac:dyDescent="0.35">
      <c r="A51" s="7">
        <v>45809</v>
      </c>
      <c r="B51" s="1" t="s">
        <v>99</v>
      </c>
      <c r="C51" s="1" t="s">
        <v>477</v>
      </c>
      <c r="D51" s="1" t="s">
        <v>226</v>
      </c>
      <c r="E51" s="1">
        <v>7</v>
      </c>
      <c r="F51" s="1">
        <v>85000</v>
      </c>
      <c r="G51" s="8" t="s">
        <v>74</v>
      </c>
      <c r="H51" s="14" t="s">
        <v>486</v>
      </c>
      <c r="I51" s="1" t="str">
        <f>IF([1]!SalesData[[#This Row],[Units Sold]]&lt;= 10,"Low Units",IF([1]!SalesData[[#This Row],[Units Sold]]&lt;= 15,"Average Units","High Units"))</f>
        <v>Low Units</v>
      </c>
      <c r="J51" s="18">
        <f>[1]!SalesData[[#This Row],[Units Sold]]*[1]!SalesData[[#This Row],[Unit Price]]</f>
        <v>595000</v>
      </c>
    </row>
    <row r="52" spans="1:10" x14ac:dyDescent="0.35">
      <c r="A52" s="7">
        <v>45671</v>
      </c>
      <c r="B52" s="1" t="s">
        <v>59</v>
      </c>
      <c r="C52" s="1" t="s">
        <v>475</v>
      </c>
      <c r="D52" s="1" t="s">
        <v>484</v>
      </c>
      <c r="E52" s="1">
        <v>13</v>
      </c>
      <c r="F52" s="1">
        <v>65000</v>
      </c>
      <c r="G52" s="8" t="s">
        <v>319</v>
      </c>
      <c r="H52" s="8" t="s">
        <v>260</v>
      </c>
      <c r="I52" s="1" t="str">
        <f>IF([1]!SalesData[[#This Row],[Units Sold]]&lt;= 10,"Low Units",IF([1]!SalesData[[#This Row],[Units Sold]]&lt;= 15,"Average Units","High Units"))</f>
        <v>Average Units</v>
      </c>
      <c r="J52" s="18">
        <f>[1]!SalesData[[#This Row],[Units Sold]]*[1]!SalesData[[#This Row],[Unit Price]]</f>
        <v>845000</v>
      </c>
    </row>
    <row r="53" spans="1:10" x14ac:dyDescent="0.35">
      <c r="A53" s="7">
        <v>45710</v>
      </c>
      <c r="B53" s="1" t="s">
        <v>99</v>
      </c>
      <c r="C53" s="1" t="s">
        <v>475</v>
      </c>
      <c r="D53" s="1" t="s">
        <v>484</v>
      </c>
      <c r="E53" s="1">
        <v>18</v>
      </c>
      <c r="F53" s="1">
        <v>65000</v>
      </c>
      <c r="G53" s="8" t="s">
        <v>495</v>
      </c>
      <c r="H53" s="8" t="s">
        <v>491</v>
      </c>
      <c r="I53" s="1" t="str">
        <f>IF([1]!SalesData[[#This Row],[Units Sold]]&lt;= 10,"Low Units",IF([1]!SalesData[[#This Row],[Units Sold]]&lt;= 15,"Average Units","High Units"))</f>
        <v>High Units</v>
      </c>
      <c r="J53" s="18">
        <f>[1]!SalesData[[#This Row],[Units Sold]]*[1]!SalesData[[#This Row],[Unit Price]]</f>
        <v>1170000</v>
      </c>
    </row>
    <row r="54" spans="1:10" x14ac:dyDescent="0.35">
      <c r="A54" s="7">
        <v>45771</v>
      </c>
      <c r="B54" s="1" t="s">
        <v>59</v>
      </c>
      <c r="C54" s="1" t="s">
        <v>475</v>
      </c>
      <c r="D54" s="1" t="s">
        <v>484</v>
      </c>
      <c r="E54" s="1">
        <v>5</v>
      </c>
      <c r="F54" s="1">
        <v>65000</v>
      </c>
      <c r="G54" s="8" t="s">
        <v>74</v>
      </c>
      <c r="H54" s="8" t="s">
        <v>488</v>
      </c>
      <c r="I54" s="1" t="str">
        <f>IF([1]!SalesData[[#This Row],[Units Sold]]&lt;= 10,"Low Units",IF([1]!SalesData[[#This Row],[Units Sold]]&lt;= 15,"Average Units","High Units"))</f>
        <v>Low Units</v>
      </c>
      <c r="J54" s="18">
        <f>[1]!SalesData[[#This Row],[Units Sold]]*[1]!SalesData[[#This Row],[Unit Price]]</f>
        <v>325000</v>
      </c>
    </row>
    <row r="55" spans="1:10" x14ac:dyDescent="0.35">
      <c r="A55" s="7">
        <v>45684</v>
      </c>
      <c r="B55" s="1" t="s">
        <v>8</v>
      </c>
      <c r="C55" s="1" t="s">
        <v>473</v>
      </c>
      <c r="D55" s="1" t="s">
        <v>165</v>
      </c>
      <c r="E55" s="1">
        <v>13</v>
      </c>
      <c r="F55" s="1">
        <v>350000</v>
      </c>
      <c r="G55" s="8" t="s">
        <v>116</v>
      </c>
      <c r="H55" s="8" t="s">
        <v>260</v>
      </c>
      <c r="I55" s="1" t="str">
        <f>IF([1]!SalesData[[#This Row],[Units Sold]]&lt;= 10,"Low Units",IF([1]!SalesData[[#This Row],[Units Sold]]&lt;= 15,"Average Units","High Units"))</f>
        <v>Average Units</v>
      </c>
      <c r="J55" s="18">
        <f>[1]!SalesData[[#This Row],[Units Sold]]*[1]!SalesData[[#This Row],[Unit Price]]</f>
        <v>4550000</v>
      </c>
    </row>
    <row r="56" spans="1:10" x14ac:dyDescent="0.35">
      <c r="A56" s="7">
        <v>45661</v>
      </c>
      <c r="B56" s="1" t="s">
        <v>59</v>
      </c>
      <c r="C56" s="1" t="s">
        <v>473</v>
      </c>
      <c r="D56" s="1" t="s">
        <v>165</v>
      </c>
      <c r="E56" s="1">
        <v>19</v>
      </c>
      <c r="F56" s="1">
        <v>350000</v>
      </c>
      <c r="G56" s="8" t="s">
        <v>494</v>
      </c>
      <c r="H56" s="8" t="s">
        <v>491</v>
      </c>
      <c r="I56" s="1" t="str">
        <f>IF([1]!SalesData[[#This Row],[Units Sold]]&lt;= 10,"Low Units",IF([1]!SalesData[[#This Row],[Units Sold]]&lt;= 15,"Average Units","High Units"))</f>
        <v>High Units</v>
      </c>
      <c r="J56" s="18">
        <f>[1]!SalesData[[#This Row],[Units Sold]]*[1]!SalesData[[#This Row],[Unit Price]]</f>
        <v>6650000</v>
      </c>
    </row>
    <row r="57" spans="1:10" x14ac:dyDescent="0.35">
      <c r="A57" s="7">
        <v>45724</v>
      </c>
      <c r="B57" s="1" t="s">
        <v>18</v>
      </c>
      <c r="C57" s="1" t="s">
        <v>474</v>
      </c>
      <c r="D57" s="1" t="s">
        <v>20</v>
      </c>
      <c r="E57" s="1">
        <v>9</v>
      </c>
      <c r="F57" s="1">
        <v>180000</v>
      </c>
      <c r="G57" s="8" t="s">
        <v>74</v>
      </c>
      <c r="H57" s="8" t="s">
        <v>493</v>
      </c>
      <c r="I57" s="1" t="str">
        <f>IF([1]!SalesData[[#This Row],[Units Sold]]&lt;= 10,"Low Units",IF([1]!SalesData[[#This Row],[Units Sold]]&lt;= 15,"Average Units","High Units"))</f>
        <v>Low Units</v>
      </c>
      <c r="J57" s="18">
        <f>[1]!SalesData[[#This Row],[Units Sold]]*[1]!SalesData[[#This Row],[Unit Price]]</f>
        <v>1620000</v>
      </c>
    </row>
    <row r="58" spans="1:10" x14ac:dyDescent="0.35">
      <c r="A58" s="7">
        <v>45680</v>
      </c>
      <c r="B58" s="1" t="s">
        <v>99</v>
      </c>
      <c r="C58" s="1" t="s">
        <v>105</v>
      </c>
      <c r="D58" s="1" t="s">
        <v>20</v>
      </c>
      <c r="E58" s="1">
        <v>10</v>
      </c>
      <c r="F58" s="1">
        <v>150000</v>
      </c>
      <c r="G58" s="8" t="s">
        <v>116</v>
      </c>
      <c r="H58" s="8" t="s">
        <v>131</v>
      </c>
      <c r="I58" s="1" t="str">
        <f>IF([1]!SalesData[[#This Row],[Units Sold]]&lt;= 10,"Low Units",IF([1]!SalesData[[#This Row],[Units Sold]]&lt;= 15,"Average Units","High Units"))</f>
        <v>Low Units</v>
      </c>
      <c r="J58" s="18">
        <f>[1]!SalesData[[#This Row],[Units Sold]]*[1]!SalesData[[#This Row],[Unit Price]]</f>
        <v>1500000</v>
      </c>
    </row>
    <row r="59" spans="1:10" x14ac:dyDescent="0.35">
      <c r="A59" s="7">
        <v>45673</v>
      </c>
      <c r="B59" s="1" t="s">
        <v>99</v>
      </c>
      <c r="C59" s="1" t="s">
        <v>477</v>
      </c>
      <c r="D59" s="1" t="s">
        <v>226</v>
      </c>
      <c r="E59" s="1">
        <v>10</v>
      </c>
      <c r="F59" s="1">
        <v>85000</v>
      </c>
      <c r="G59" s="8" t="s">
        <v>74</v>
      </c>
      <c r="H59" s="8" t="s">
        <v>488</v>
      </c>
      <c r="I59" s="1" t="str">
        <f>IF([1]!SalesData[[#This Row],[Units Sold]]&lt;= 10,"Low Units",IF([1]!SalesData[[#This Row],[Units Sold]]&lt;= 15,"Average Units","High Units"))</f>
        <v>Low Units</v>
      </c>
      <c r="J59" s="18">
        <f>[1]!SalesData[[#This Row],[Units Sold]]*[1]!SalesData[[#This Row],[Unit Price]]</f>
        <v>850000</v>
      </c>
    </row>
    <row r="60" spans="1:10" x14ac:dyDescent="0.35">
      <c r="A60" s="7">
        <v>45693</v>
      </c>
      <c r="B60" s="1" t="s">
        <v>8</v>
      </c>
      <c r="C60" s="1" t="s">
        <v>119</v>
      </c>
      <c r="D60" s="1" t="s">
        <v>120</v>
      </c>
      <c r="E60" s="1">
        <v>5</v>
      </c>
      <c r="F60" s="1">
        <v>250000</v>
      </c>
      <c r="G60" s="8" t="s">
        <v>74</v>
      </c>
      <c r="H60" s="8" t="s">
        <v>487</v>
      </c>
      <c r="I60" s="1" t="str">
        <f>IF([1]!SalesData[[#This Row],[Units Sold]]&lt;= 10,"Low Units",IF([1]!SalesData[[#This Row],[Units Sold]]&lt;= 15,"Average Units","High Units"))</f>
        <v>Low Units</v>
      </c>
      <c r="J60" s="18">
        <f>[1]!SalesData[[#This Row],[Units Sold]]*[1]!SalesData[[#This Row],[Unit Price]]</f>
        <v>1250000</v>
      </c>
    </row>
    <row r="61" spans="1:10" x14ac:dyDescent="0.35">
      <c r="A61" s="7">
        <v>45802</v>
      </c>
      <c r="B61" s="1" t="s">
        <v>99</v>
      </c>
      <c r="C61" s="1" t="s">
        <v>105</v>
      </c>
      <c r="D61" s="1" t="s">
        <v>20</v>
      </c>
      <c r="E61" s="1">
        <v>1</v>
      </c>
      <c r="F61" s="1">
        <v>150000</v>
      </c>
      <c r="G61" s="8" t="s">
        <v>495</v>
      </c>
      <c r="H61" s="8" t="s">
        <v>17</v>
      </c>
      <c r="I61" s="1" t="str">
        <f>IF([1]!SalesData[[#This Row],[Units Sold]]&lt;= 10,"Low Units",IF([1]!SalesData[[#This Row],[Units Sold]]&lt;= 15,"Average Units","High Units"))</f>
        <v>Low Units</v>
      </c>
      <c r="J61" s="18">
        <f>[1]!SalesData[[#This Row],[Units Sold]]*[1]!SalesData[[#This Row],[Unit Price]]</f>
        <v>150000</v>
      </c>
    </row>
    <row r="62" spans="1:10" x14ac:dyDescent="0.35">
      <c r="A62" s="7">
        <v>45663</v>
      </c>
      <c r="B62" s="1" t="s">
        <v>8</v>
      </c>
      <c r="C62" s="1" t="s">
        <v>105</v>
      </c>
      <c r="D62" s="1" t="s">
        <v>20</v>
      </c>
      <c r="E62" s="1">
        <v>20</v>
      </c>
      <c r="F62" s="1">
        <v>150000</v>
      </c>
      <c r="G62" s="8" t="s">
        <v>74</v>
      </c>
      <c r="H62" s="8" t="s">
        <v>489</v>
      </c>
      <c r="I62" s="1" t="str">
        <f>IF([1]!SalesData[[#This Row],[Units Sold]]&lt;= 10,"Low Units",IF([1]!SalesData[[#This Row],[Units Sold]]&lt;= 15,"Average Units","High Units"))</f>
        <v>High Units</v>
      </c>
      <c r="J62" s="18">
        <f>[1]!SalesData[[#This Row],[Units Sold]]*[1]!SalesData[[#This Row],[Unit Price]]</f>
        <v>3000000</v>
      </c>
    </row>
    <row r="63" spans="1:10" x14ac:dyDescent="0.35">
      <c r="A63" s="7">
        <v>45694</v>
      </c>
      <c r="B63" s="1" t="s">
        <v>8</v>
      </c>
      <c r="C63" s="1" t="s">
        <v>473</v>
      </c>
      <c r="D63" s="1" t="s">
        <v>165</v>
      </c>
      <c r="E63" s="1">
        <v>11</v>
      </c>
      <c r="F63" s="1">
        <v>350000</v>
      </c>
      <c r="G63" s="8" t="s">
        <v>116</v>
      </c>
      <c r="H63" s="8" t="s">
        <v>490</v>
      </c>
      <c r="I63" s="1" t="str">
        <f>IF([1]!SalesData[[#This Row],[Units Sold]]&lt;= 10,"Low Units",IF([1]!SalesData[[#This Row],[Units Sold]]&lt;= 15,"Average Units","High Units"))</f>
        <v>Average Units</v>
      </c>
      <c r="J63" s="18">
        <f>[1]!SalesData[[#This Row],[Units Sold]]*[1]!SalesData[[#This Row],[Unit Price]]</f>
        <v>3850000</v>
      </c>
    </row>
    <row r="64" spans="1:10" x14ac:dyDescent="0.35">
      <c r="A64" s="7">
        <v>45671</v>
      </c>
      <c r="B64" s="1" t="s">
        <v>99</v>
      </c>
      <c r="C64" s="1" t="s">
        <v>119</v>
      </c>
      <c r="D64" s="1" t="s">
        <v>120</v>
      </c>
      <c r="E64" s="1">
        <v>14</v>
      </c>
      <c r="F64" s="1">
        <v>250000</v>
      </c>
      <c r="G64" s="8" t="s">
        <v>116</v>
      </c>
      <c r="H64" s="8" t="s">
        <v>341</v>
      </c>
      <c r="I64" s="1" t="str">
        <f>IF([1]!SalesData[[#This Row],[Units Sold]]&lt;= 10,"Low Units",IF([1]!SalesData[[#This Row],[Units Sold]]&lt;= 15,"Average Units","High Units"))</f>
        <v>Average Units</v>
      </c>
      <c r="J64" s="18">
        <f>[1]!SalesData[[#This Row],[Units Sold]]*[1]!SalesData[[#This Row],[Unit Price]]</f>
        <v>3500000</v>
      </c>
    </row>
    <row r="65" spans="1:10" x14ac:dyDescent="0.35">
      <c r="A65" s="7">
        <v>45779</v>
      </c>
      <c r="B65" s="1" t="s">
        <v>59</v>
      </c>
      <c r="C65" s="1" t="s">
        <v>105</v>
      </c>
      <c r="D65" s="1" t="s">
        <v>20</v>
      </c>
      <c r="E65" s="1">
        <v>3</v>
      </c>
      <c r="F65" s="1">
        <v>150000</v>
      </c>
      <c r="G65" s="8" t="s">
        <v>74</v>
      </c>
      <c r="H65" s="14" t="s">
        <v>486</v>
      </c>
      <c r="I65" s="1" t="str">
        <f>IF([1]!SalesData[[#This Row],[Units Sold]]&lt;= 10,"Low Units",IF([1]!SalesData[[#This Row],[Units Sold]]&lt;= 15,"Average Units","High Units"))</f>
        <v>Low Units</v>
      </c>
      <c r="J65" s="18">
        <f>[1]!SalesData[[#This Row],[Units Sold]]*[1]!SalesData[[#This Row],[Unit Price]]</f>
        <v>450000</v>
      </c>
    </row>
    <row r="66" spans="1:10" x14ac:dyDescent="0.35">
      <c r="A66" s="7">
        <v>45825</v>
      </c>
      <c r="B66" s="1" t="s">
        <v>99</v>
      </c>
      <c r="C66" s="1" t="s">
        <v>477</v>
      </c>
      <c r="D66" s="1" t="s">
        <v>226</v>
      </c>
      <c r="E66" s="1">
        <v>6</v>
      </c>
      <c r="F66" s="1">
        <v>85000</v>
      </c>
      <c r="G66" s="8" t="s">
        <v>319</v>
      </c>
      <c r="H66" s="8" t="s">
        <v>489</v>
      </c>
      <c r="I66" s="1" t="str">
        <f>IF([1]!SalesData[[#This Row],[Units Sold]]&lt;= 10,"Low Units",IF([1]!SalesData[[#This Row],[Units Sold]]&lt;= 15,"Average Units","High Units"))</f>
        <v>Low Units</v>
      </c>
      <c r="J66" s="18">
        <f>[1]!SalesData[[#This Row],[Units Sold]]*[1]!SalesData[[#This Row],[Unit Price]]</f>
        <v>510000</v>
      </c>
    </row>
    <row r="67" spans="1:10" x14ac:dyDescent="0.35">
      <c r="A67" s="7">
        <v>45670</v>
      </c>
      <c r="B67" s="1" t="s">
        <v>59</v>
      </c>
      <c r="C67" s="1" t="s">
        <v>473</v>
      </c>
      <c r="D67" s="1" t="s">
        <v>165</v>
      </c>
      <c r="E67" s="1">
        <v>15</v>
      </c>
      <c r="F67" s="1">
        <v>350000</v>
      </c>
      <c r="G67" s="8" t="s">
        <v>116</v>
      </c>
      <c r="H67" s="8" t="s">
        <v>490</v>
      </c>
      <c r="I67" s="1" t="str">
        <f>IF([1]!SalesData[[#This Row],[Units Sold]]&lt;= 10,"Low Units",IF([1]!SalesData[[#This Row],[Units Sold]]&lt;= 15,"Average Units","High Units"))</f>
        <v>Average Units</v>
      </c>
      <c r="J67" s="18">
        <f>[1]!SalesData[[#This Row],[Units Sold]]*[1]!SalesData[[#This Row],[Unit Price]]</f>
        <v>5250000</v>
      </c>
    </row>
    <row r="68" spans="1:10" x14ac:dyDescent="0.35">
      <c r="A68" s="7">
        <v>45810</v>
      </c>
      <c r="B68" s="1" t="s">
        <v>18</v>
      </c>
      <c r="C68" s="1" t="s">
        <v>105</v>
      </c>
      <c r="D68" s="1" t="s">
        <v>20</v>
      </c>
      <c r="E68" s="1">
        <v>16</v>
      </c>
      <c r="F68" s="1">
        <v>150000</v>
      </c>
      <c r="G68" s="8" t="s">
        <v>494</v>
      </c>
      <c r="H68" s="8" t="s">
        <v>341</v>
      </c>
      <c r="I68" s="1" t="str">
        <f>IF([1]!SalesData[[#This Row],[Units Sold]]&lt;= 10,"Low Units",IF([1]!SalesData[[#This Row],[Units Sold]]&lt;= 15,"Average Units","High Units"))</f>
        <v>High Units</v>
      </c>
      <c r="J68" s="18">
        <f>[1]!SalesData[[#This Row],[Units Sold]]*[1]!SalesData[[#This Row],[Unit Price]]</f>
        <v>2400000</v>
      </c>
    </row>
    <row r="69" spans="1:10" x14ac:dyDescent="0.35">
      <c r="A69" s="7">
        <v>45704</v>
      </c>
      <c r="B69" s="1" t="s">
        <v>99</v>
      </c>
      <c r="C69" s="1" t="s">
        <v>476</v>
      </c>
      <c r="D69" s="1" t="s">
        <v>110</v>
      </c>
      <c r="E69" s="1">
        <v>8</v>
      </c>
      <c r="F69" s="1">
        <v>175000</v>
      </c>
      <c r="G69" s="8" t="s">
        <v>179</v>
      </c>
      <c r="H69" s="14" t="s">
        <v>486</v>
      </c>
      <c r="I69" s="1" t="str">
        <f>IF([1]!SalesData[[#This Row],[Units Sold]]&lt;= 10,"Low Units",IF([1]!SalesData[[#This Row],[Units Sold]]&lt;= 15,"Average Units","High Units"))</f>
        <v>Low Units</v>
      </c>
      <c r="J69" s="18">
        <f>[1]!SalesData[[#This Row],[Units Sold]]*[1]!SalesData[[#This Row],[Unit Price]]</f>
        <v>1400000</v>
      </c>
    </row>
    <row r="70" spans="1:10" x14ac:dyDescent="0.35">
      <c r="A70" s="7">
        <v>45761</v>
      </c>
      <c r="B70" s="1" t="s">
        <v>8</v>
      </c>
      <c r="C70" s="1" t="s">
        <v>477</v>
      </c>
      <c r="D70" s="1" t="s">
        <v>226</v>
      </c>
      <c r="E70" s="1">
        <v>2</v>
      </c>
      <c r="F70" s="1">
        <v>85000</v>
      </c>
      <c r="G70" s="8" t="s">
        <v>116</v>
      </c>
      <c r="H70" s="8" t="s">
        <v>488</v>
      </c>
      <c r="I70" s="1" t="str">
        <f>IF([1]!SalesData[[#This Row],[Units Sold]]&lt;= 10,"Low Units",IF([1]!SalesData[[#This Row],[Units Sold]]&lt;= 15,"Average Units","High Units"))</f>
        <v>Low Units</v>
      </c>
      <c r="J70" s="18">
        <f>[1]!SalesData[[#This Row],[Units Sold]]*[1]!SalesData[[#This Row],[Unit Price]]</f>
        <v>170000</v>
      </c>
    </row>
    <row r="71" spans="1:10" x14ac:dyDescent="0.35">
      <c r="A71" s="7">
        <v>45663</v>
      </c>
      <c r="B71" s="1" t="s">
        <v>18</v>
      </c>
      <c r="C71" s="1" t="s">
        <v>119</v>
      </c>
      <c r="D71" s="1" t="s">
        <v>120</v>
      </c>
      <c r="E71" s="1">
        <v>13</v>
      </c>
      <c r="F71" s="1">
        <v>250000</v>
      </c>
      <c r="G71" s="8" t="s">
        <v>495</v>
      </c>
      <c r="H71" s="8" t="s">
        <v>341</v>
      </c>
      <c r="I71" s="1" t="str">
        <f>IF([1]!SalesData[[#This Row],[Units Sold]]&lt;= 10,"Low Units",IF([1]!SalesData[[#This Row],[Units Sold]]&lt;= 15,"Average Units","High Units"))</f>
        <v>Average Units</v>
      </c>
      <c r="J71" s="18">
        <f>[1]!SalesData[[#This Row],[Units Sold]]*[1]!SalesData[[#This Row],[Unit Price]]</f>
        <v>3250000</v>
      </c>
    </row>
    <row r="72" spans="1:10" x14ac:dyDescent="0.35">
      <c r="A72" s="7">
        <v>45668</v>
      </c>
      <c r="B72" s="1" t="s">
        <v>59</v>
      </c>
      <c r="C72" s="1" t="s">
        <v>475</v>
      </c>
      <c r="D72" s="1" t="s">
        <v>484</v>
      </c>
      <c r="E72" s="1">
        <v>11</v>
      </c>
      <c r="F72" s="1">
        <v>65000</v>
      </c>
      <c r="G72" s="8" t="s">
        <v>116</v>
      </c>
      <c r="H72" s="8" t="s">
        <v>490</v>
      </c>
      <c r="I72" s="1" t="str">
        <f>IF([1]!SalesData[[#This Row],[Units Sold]]&lt;= 10,"Low Units",IF([1]!SalesData[[#This Row],[Units Sold]]&lt;= 15,"Average Units","High Units"))</f>
        <v>Average Units</v>
      </c>
      <c r="J72" s="18">
        <f>[1]!SalesData[[#This Row],[Units Sold]]*[1]!SalesData[[#This Row],[Unit Price]]</f>
        <v>715000</v>
      </c>
    </row>
    <row r="73" spans="1:10" x14ac:dyDescent="0.35">
      <c r="A73" s="7">
        <v>45825</v>
      </c>
      <c r="B73" s="1" t="s">
        <v>8</v>
      </c>
      <c r="C73" s="1" t="s">
        <v>473</v>
      </c>
      <c r="D73" s="1" t="s">
        <v>165</v>
      </c>
      <c r="E73" s="1">
        <v>17</v>
      </c>
      <c r="F73" s="1">
        <v>350000</v>
      </c>
      <c r="G73" s="8" t="s">
        <v>116</v>
      </c>
      <c r="H73" s="8" t="s">
        <v>75</v>
      </c>
      <c r="I73" s="1" t="str">
        <f>IF([1]!SalesData[[#This Row],[Units Sold]]&lt;= 10,"Low Units",IF([1]!SalesData[[#This Row],[Units Sold]]&lt;= 15,"Average Units","High Units"))</f>
        <v>High Units</v>
      </c>
      <c r="J73" s="18">
        <f>[1]!SalesData[[#This Row],[Units Sold]]*[1]!SalesData[[#This Row],[Unit Price]]</f>
        <v>5950000</v>
      </c>
    </row>
    <row r="74" spans="1:10" x14ac:dyDescent="0.35">
      <c r="A74" s="7">
        <v>45671</v>
      </c>
      <c r="B74" s="1" t="s">
        <v>59</v>
      </c>
      <c r="C74" s="1" t="s">
        <v>475</v>
      </c>
      <c r="D74" s="1" t="s">
        <v>484</v>
      </c>
      <c r="E74" s="1">
        <v>18</v>
      </c>
      <c r="F74" s="1">
        <v>65000</v>
      </c>
      <c r="G74" s="8" t="s">
        <v>116</v>
      </c>
      <c r="H74" s="8" t="s">
        <v>260</v>
      </c>
      <c r="I74" s="1" t="str">
        <f>IF([1]!SalesData[[#This Row],[Units Sold]]&lt;= 10,"Low Units",IF([1]!SalesData[[#This Row],[Units Sold]]&lt;= 15,"Average Units","High Units"))</f>
        <v>High Units</v>
      </c>
      <c r="J74" s="18">
        <f>[1]!SalesData[[#This Row],[Units Sold]]*[1]!SalesData[[#This Row],[Unit Price]]</f>
        <v>1170000</v>
      </c>
    </row>
    <row r="75" spans="1:10" x14ac:dyDescent="0.35">
      <c r="A75" s="7">
        <v>45806</v>
      </c>
      <c r="B75" s="1" t="s">
        <v>99</v>
      </c>
      <c r="C75" s="1" t="s">
        <v>474</v>
      </c>
      <c r="D75" s="1" t="s">
        <v>20</v>
      </c>
      <c r="E75" s="1">
        <v>13</v>
      </c>
      <c r="F75" s="1">
        <v>180000</v>
      </c>
      <c r="G75" s="8" t="s">
        <v>495</v>
      </c>
      <c r="H75" s="8" t="s">
        <v>487</v>
      </c>
      <c r="I75" s="1" t="str">
        <f>IF([1]!SalesData[[#This Row],[Units Sold]]&lt;= 10,"Low Units",IF([1]!SalesData[[#This Row],[Units Sold]]&lt;= 15,"Average Units","High Units"))</f>
        <v>Average Units</v>
      </c>
      <c r="J75" s="18">
        <f>[1]!SalesData[[#This Row],[Units Sold]]*[1]!SalesData[[#This Row],[Unit Price]]</f>
        <v>2340000</v>
      </c>
    </row>
    <row r="76" spans="1:10" x14ac:dyDescent="0.35">
      <c r="A76" s="7">
        <v>45731</v>
      </c>
      <c r="B76" s="1" t="s">
        <v>8</v>
      </c>
      <c r="C76" s="1" t="s">
        <v>476</v>
      </c>
      <c r="D76" s="1" t="s">
        <v>110</v>
      </c>
      <c r="E76" s="1">
        <v>10</v>
      </c>
      <c r="F76" s="1">
        <v>175000</v>
      </c>
      <c r="G76" s="8" t="s">
        <v>74</v>
      </c>
      <c r="H76" s="8" t="s">
        <v>491</v>
      </c>
      <c r="I76" s="1" t="str">
        <f>IF([1]!SalesData[[#This Row],[Units Sold]]&lt;= 10,"Low Units",IF([1]!SalesData[[#This Row],[Units Sold]]&lt;= 15,"Average Units","High Units"))</f>
        <v>Low Units</v>
      </c>
      <c r="J76" s="18">
        <f>[1]!SalesData[[#This Row],[Units Sold]]*[1]!SalesData[[#This Row],[Unit Price]]</f>
        <v>1750000</v>
      </c>
    </row>
    <row r="77" spans="1:10" x14ac:dyDescent="0.35">
      <c r="A77" s="7">
        <v>45742</v>
      </c>
      <c r="B77" s="1" t="s">
        <v>99</v>
      </c>
      <c r="C77" s="1" t="s">
        <v>477</v>
      </c>
      <c r="D77" s="1" t="s">
        <v>226</v>
      </c>
      <c r="E77" s="1">
        <v>5</v>
      </c>
      <c r="F77" s="1">
        <v>85000</v>
      </c>
      <c r="G77" s="8" t="s">
        <v>495</v>
      </c>
      <c r="H77" s="8" t="s">
        <v>493</v>
      </c>
      <c r="I77" s="1" t="str">
        <f>IF([1]!SalesData[[#This Row],[Units Sold]]&lt;= 10,"Low Units",IF([1]!SalesData[[#This Row],[Units Sold]]&lt;= 15,"Average Units","High Units"))</f>
        <v>Low Units</v>
      </c>
      <c r="J77" s="18">
        <f>[1]!SalesData[[#This Row],[Units Sold]]*[1]!SalesData[[#This Row],[Unit Price]]</f>
        <v>425000</v>
      </c>
    </row>
    <row r="78" spans="1:10" x14ac:dyDescent="0.35">
      <c r="A78" s="7">
        <v>45669</v>
      </c>
      <c r="B78" s="1" t="s">
        <v>18</v>
      </c>
      <c r="C78" s="1" t="s">
        <v>473</v>
      </c>
      <c r="D78" s="1" t="s">
        <v>165</v>
      </c>
      <c r="E78" s="1">
        <v>17</v>
      </c>
      <c r="F78" s="1">
        <v>350000</v>
      </c>
      <c r="G78" s="8" t="s">
        <v>437</v>
      </c>
      <c r="H78" s="8" t="s">
        <v>489</v>
      </c>
      <c r="I78" s="1" t="str">
        <f>IF([1]!SalesData[[#This Row],[Units Sold]]&lt;= 10,"Low Units",IF([1]!SalesData[[#This Row],[Units Sold]]&lt;= 15,"Average Units","High Units"))</f>
        <v>High Units</v>
      </c>
      <c r="J78" s="18">
        <f>[1]!SalesData[[#This Row],[Units Sold]]*[1]!SalesData[[#This Row],[Unit Price]]</f>
        <v>5950000</v>
      </c>
    </row>
    <row r="79" spans="1:10" x14ac:dyDescent="0.35">
      <c r="A79" s="7">
        <v>45680</v>
      </c>
      <c r="B79" s="1" t="s">
        <v>18</v>
      </c>
      <c r="C79" s="1" t="s">
        <v>473</v>
      </c>
      <c r="D79" s="1" t="s">
        <v>165</v>
      </c>
      <c r="E79" s="1">
        <v>13</v>
      </c>
      <c r="F79" s="1">
        <v>350000</v>
      </c>
      <c r="G79" s="8" t="s">
        <v>319</v>
      </c>
      <c r="H79" s="8" t="s">
        <v>489</v>
      </c>
      <c r="I79" s="1" t="str">
        <f>IF([1]!SalesData[[#This Row],[Units Sold]]&lt;= 10,"Low Units",IF([1]!SalesData[[#This Row],[Units Sold]]&lt;= 15,"Average Units","High Units"))</f>
        <v>Average Units</v>
      </c>
      <c r="J79" s="18">
        <f>[1]!SalesData[[#This Row],[Units Sold]]*[1]!SalesData[[#This Row],[Unit Price]]</f>
        <v>4550000</v>
      </c>
    </row>
    <row r="80" spans="1:10" x14ac:dyDescent="0.35">
      <c r="A80" s="7">
        <v>45782</v>
      </c>
      <c r="B80" s="1" t="s">
        <v>18</v>
      </c>
      <c r="C80" s="1" t="s">
        <v>473</v>
      </c>
      <c r="D80" s="1" t="s">
        <v>165</v>
      </c>
      <c r="E80" s="1">
        <v>8</v>
      </c>
      <c r="F80" s="1">
        <v>350000</v>
      </c>
      <c r="G80" s="8" t="s">
        <v>494</v>
      </c>
      <c r="H80" s="8" t="s">
        <v>131</v>
      </c>
      <c r="I80" s="1" t="str">
        <f>IF([1]!SalesData[[#This Row],[Units Sold]]&lt;= 10,"Low Units",IF([1]!SalesData[[#This Row],[Units Sold]]&lt;= 15,"Average Units","High Units"))</f>
        <v>Low Units</v>
      </c>
      <c r="J80" s="18">
        <f>[1]!SalesData[[#This Row],[Units Sold]]*[1]!SalesData[[#This Row],[Unit Price]]</f>
        <v>2800000</v>
      </c>
    </row>
    <row r="81" spans="1:10" x14ac:dyDescent="0.35">
      <c r="A81" s="7">
        <v>45796</v>
      </c>
      <c r="B81" s="1" t="s">
        <v>8</v>
      </c>
      <c r="C81" s="1" t="s">
        <v>477</v>
      </c>
      <c r="D81" s="1" t="s">
        <v>226</v>
      </c>
      <c r="E81" s="1">
        <v>13</v>
      </c>
      <c r="F81" s="1">
        <v>85000</v>
      </c>
      <c r="G81" s="8" t="s">
        <v>74</v>
      </c>
      <c r="H81" s="8" t="s">
        <v>131</v>
      </c>
      <c r="I81" s="1" t="str">
        <f>IF([1]!SalesData[[#This Row],[Units Sold]]&lt;= 10,"Low Units",IF([1]!SalesData[[#This Row],[Units Sold]]&lt;= 15,"Average Units","High Units"))</f>
        <v>Average Units</v>
      </c>
      <c r="J81" s="18">
        <f>[1]!SalesData[[#This Row],[Units Sold]]*[1]!SalesData[[#This Row],[Unit Price]]</f>
        <v>1105000</v>
      </c>
    </row>
    <row r="82" spans="1:10" x14ac:dyDescent="0.35">
      <c r="A82" s="7">
        <v>45751</v>
      </c>
      <c r="B82" s="1" t="s">
        <v>99</v>
      </c>
      <c r="C82" s="1" t="s">
        <v>105</v>
      </c>
      <c r="D82" s="1" t="s">
        <v>20</v>
      </c>
      <c r="E82" s="1">
        <v>17</v>
      </c>
      <c r="F82" s="1">
        <v>150000</v>
      </c>
      <c r="G82" s="8" t="s">
        <v>319</v>
      </c>
      <c r="H82" s="8" t="s">
        <v>17</v>
      </c>
      <c r="I82" s="1" t="str">
        <f>IF([1]!SalesData[[#This Row],[Units Sold]]&lt;= 10,"Low Units",IF([1]!SalesData[[#This Row],[Units Sold]]&lt;= 15,"Average Units","High Units"))</f>
        <v>High Units</v>
      </c>
      <c r="J82" s="18">
        <f>[1]!SalesData[[#This Row],[Units Sold]]*[1]!SalesData[[#This Row],[Unit Price]]</f>
        <v>2550000</v>
      </c>
    </row>
    <row r="83" spans="1:10" x14ac:dyDescent="0.35">
      <c r="A83" s="7">
        <v>45714</v>
      </c>
      <c r="B83" s="1" t="s">
        <v>8</v>
      </c>
      <c r="C83" s="1" t="s">
        <v>475</v>
      </c>
      <c r="D83" s="1" t="s">
        <v>484</v>
      </c>
      <c r="E83" s="1">
        <v>19</v>
      </c>
      <c r="F83" s="1">
        <v>65000</v>
      </c>
      <c r="G83" s="8" t="s">
        <v>495</v>
      </c>
      <c r="H83" s="8" t="s">
        <v>260</v>
      </c>
      <c r="I83" s="1" t="str">
        <f>IF([1]!SalesData[[#This Row],[Units Sold]]&lt;= 10,"Low Units",IF([1]!SalesData[[#This Row],[Units Sold]]&lt;= 15,"Average Units","High Units"))</f>
        <v>High Units</v>
      </c>
      <c r="J83" s="18">
        <f>[1]!SalesData[[#This Row],[Units Sold]]*[1]!SalesData[[#This Row],[Unit Price]]</f>
        <v>1235000</v>
      </c>
    </row>
    <row r="84" spans="1:10" x14ac:dyDescent="0.35">
      <c r="A84" s="7">
        <v>45811</v>
      </c>
      <c r="B84" s="1" t="s">
        <v>18</v>
      </c>
      <c r="C84" s="1" t="s">
        <v>105</v>
      </c>
      <c r="D84" s="1" t="s">
        <v>20</v>
      </c>
      <c r="E84" s="1">
        <v>1</v>
      </c>
      <c r="F84" s="1">
        <v>150000</v>
      </c>
      <c r="G84" s="8" t="s">
        <v>495</v>
      </c>
      <c r="H84" s="8" t="s">
        <v>493</v>
      </c>
      <c r="I84" s="1" t="str">
        <f>IF([1]!SalesData[[#This Row],[Units Sold]]&lt;= 10,"Low Units",IF([1]!SalesData[[#This Row],[Units Sold]]&lt;= 15,"Average Units","High Units"))</f>
        <v>Low Units</v>
      </c>
      <c r="J84" s="18">
        <f>[1]!SalesData[[#This Row],[Units Sold]]*[1]!SalesData[[#This Row],[Unit Price]]</f>
        <v>150000</v>
      </c>
    </row>
    <row r="85" spans="1:10" x14ac:dyDescent="0.35">
      <c r="A85" s="7">
        <v>45752</v>
      </c>
      <c r="B85" s="1" t="s">
        <v>99</v>
      </c>
      <c r="C85" s="1" t="s">
        <v>119</v>
      </c>
      <c r="D85" s="1" t="s">
        <v>120</v>
      </c>
      <c r="E85" s="1">
        <v>13</v>
      </c>
      <c r="F85" s="1">
        <v>250000</v>
      </c>
      <c r="G85" s="8" t="s">
        <v>116</v>
      </c>
      <c r="H85" s="8" t="s">
        <v>131</v>
      </c>
      <c r="I85" s="1" t="str">
        <f>IF([1]!SalesData[[#This Row],[Units Sold]]&lt;= 10,"Low Units",IF([1]!SalesData[[#This Row],[Units Sold]]&lt;= 15,"Average Units","High Units"))</f>
        <v>Average Units</v>
      </c>
      <c r="J85" s="18">
        <f>[1]!SalesData[[#This Row],[Units Sold]]*[1]!SalesData[[#This Row],[Unit Price]]</f>
        <v>3250000</v>
      </c>
    </row>
    <row r="86" spans="1:10" x14ac:dyDescent="0.35">
      <c r="A86" s="7">
        <v>45687</v>
      </c>
      <c r="B86" s="1" t="s">
        <v>99</v>
      </c>
      <c r="C86" s="1" t="s">
        <v>475</v>
      </c>
      <c r="D86" s="1" t="s">
        <v>484</v>
      </c>
      <c r="E86" s="1">
        <v>18</v>
      </c>
      <c r="F86" s="1">
        <v>65000</v>
      </c>
      <c r="G86" s="8" t="s">
        <v>116</v>
      </c>
      <c r="H86" s="8" t="s">
        <v>492</v>
      </c>
      <c r="I86" s="1" t="str">
        <f>IF([1]!SalesData[[#This Row],[Units Sold]]&lt;= 10,"Low Units",IF([1]!SalesData[[#This Row],[Units Sold]]&lt;= 15,"Average Units","High Units"))</f>
        <v>High Units</v>
      </c>
      <c r="J86" s="18">
        <f>[1]!SalesData[[#This Row],[Units Sold]]*[1]!SalesData[[#This Row],[Unit Price]]</f>
        <v>1170000</v>
      </c>
    </row>
    <row r="87" spans="1:10" x14ac:dyDescent="0.35">
      <c r="A87" s="7">
        <v>45688</v>
      </c>
      <c r="B87" s="1" t="s">
        <v>18</v>
      </c>
      <c r="C87" s="1" t="s">
        <v>119</v>
      </c>
      <c r="D87" s="1" t="s">
        <v>120</v>
      </c>
      <c r="E87" s="1">
        <v>20</v>
      </c>
      <c r="F87" s="1">
        <v>250000</v>
      </c>
      <c r="G87" s="8" t="s">
        <v>74</v>
      </c>
      <c r="H87" s="8" t="s">
        <v>75</v>
      </c>
      <c r="I87" s="1" t="str">
        <f>IF([1]!SalesData[[#This Row],[Units Sold]]&lt;= 10,"Low Units",IF([1]!SalesData[[#This Row],[Units Sold]]&lt;= 15,"Average Units","High Units"))</f>
        <v>High Units</v>
      </c>
      <c r="J87" s="18">
        <f>[1]!SalesData[[#This Row],[Units Sold]]*[1]!SalesData[[#This Row],[Unit Price]]</f>
        <v>5000000</v>
      </c>
    </row>
    <row r="88" spans="1:10" x14ac:dyDescent="0.35">
      <c r="A88" s="7">
        <v>45804</v>
      </c>
      <c r="B88" s="1" t="s">
        <v>99</v>
      </c>
      <c r="C88" s="1" t="s">
        <v>474</v>
      </c>
      <c r="D88" s="1" t="s">
        <v>20</v>
      </c>
      <c r="E88" s="1">
        <v>4</v>
      </c>
      <c r="F88" s="1">
        <v>180000</v>
      </c>
      <c r="G88" s="8" t="s">
        <v>74</v>
      </c>
      <c r="H88" s="8" t="s">
        <v>17</v>
      </c>
      <c r="I88" s="1" t="str">
        <f>IF([1]!SalesData[[#This Row],[Units Sold]]&lt;= 10,"Low Units",IF([1]!SalesData[[#This Row],[Units Sold]]&lt;= 15,"Average Units","High Units"))</f>
        <v>Low Units</v>
      </c>
      <c r="J88" s="18">
        <f>[1]!SalesData[[#This Row],[Units Sold]]*[1]!SalesData[[#This Row],[Unit Price]]</f>
        <v>720000</v>
      </c>
    </row>
    <row r="89" spans="1:10" x14ac:dyDescent="0.35">
      <c r="A89" s="7">
        <v>45755</v>
      </c>
      <c r="B89" s="1" t="s">
        <v>8</v>
      </c>
      <c r="C89" s="1" t="s">
        <v>105</v>
      </c>
      <c r="D89" s="1" t="s">
        <v>20</v>
      </c>
      <c r="E89" s="1">
        <v>5</v>
      </c>
      <c r="F89" s="1">
        <v>150000</v>
      </c>
      <c r="G89" s="8" t="s">
        <v>116</v>
      </c>
      <c r="H89" s="8" t="s">
        <v>63</v>
      </c>
      <c r="I89" s="1" t="str">
        <f>IF([1]!SalesData[[#This Row],[Units Sold]]&lt;= 10,"Low Units",IF([1]!SalesData[[#This Row],[Units Sold]]&lt;= 15,"Average Units","High Units"))</f>
        <v>Low Units</v>
      </c>
      <c r="J89" s="18">
        <f>[1]!SalesData[[#This Row],[Units Sold]]*[1]!SalesData[[#This Row],[Unit Price]]</f>
        <v>750000</v>
      </c>
    </row>
    <row r="90" spans="1:10" x14ac:dyDescent="0.35">
      <c r="A90" s="7">
        <v>45701</v>
      </c>
      <c r="B90" s="1" t="s">
        <v>59</v>
      </c>
      <c r="C90" s="1" t="s">
        <v>119</v>
      </c>
      <c r="D90" s="1" t="s">
        <v>120</v>
      </c>
      <c r="E90" s="1">
        <v>11</v>
      </c>
      <c r="F90" s="1">
        <v>250000</v>
      </c>
      <c r="G90" s="8" t="s">
        <v>319</v>
      </c>
      <c r="H90" s="8" t="s">
        <v>75</v>
      </c>
      <c r="I90" s="1" t="str">
        <f>IF([1]!SalesData[[#This Row],[Units Sold]]&lt;= 10,"Low Units",IF([1]!SalesData[[#This Row],[Units Sold]]&lt;= 15,"Average Units","High Units"))</f>
        <v>Average Units</v>
      </c>
      <c r="J90" s="18">
        <f>[1]!SalesData[[#This Row],[Units Sold]]*[1]!SalesData[[#This Row],[Unit Price]]</f>
        <v>2750000</v>
      </c>
    </row>
    <row r="91" spans="1:10" x14ac:dyDescent="0.35">
      <c r="A91" s="7">
        <v>45756</v>
      </c>
      <c r="B91" s="1" t="s">
        <v>99</v>
      </c>
      <c r="C91" s="1" t="s">
        <v>119</v>
      </c>
      <c r="D91" s="1" t="s">
        <v>120</v>
      </c>
      <c r="E91" s="1">
        <v>20</v>
      </c>
      <c r="F91" s="1">
        <v>250000</v>
      </c>
      <c r="G91" s="8" t="s">
        <v>494</v>
      </c>
      <c r="H91" s="8" t="s">
        <v>260</v>
      </c>
      <c r="I91" s="1" t="str">
        <f>IF([1]!SalesData[[#This Row],[Units Sold]]&lt;= 10,"Low Units",IF([1]!SalesData[[#This Row],[Units Sold]]&lt;= 15,"Average Units","High Units"))</f>
        <v>High Units</v>
      </c>
      <c r="J91" s="18">
        <f>[1]!SalesData[[#This Row],[Units Sold]]*[1]!SalesData[[#This Row],[Unit Price]]</f>
        <v>5000000</v>
      </c>
    </row>
    <row r="92" spans="1:10" x14ac:dyDescent="0.35">
      <c r="A92" s="7">
        <v>45708</v>
      </c>
      <c r="B92" s="1" t="s">
        <v>59</v>
      </c>
      <c r="C92" s="1" t="s">
        <v>477</v>
      </c>
      <c r="D92" s="1" t="s">
        <v>226</v>
      </c>
      <c r="E92" s="1">
        <v>7</v>
      </c>
      <c r="F92" s="1">
        <v>85000</v>
      </c>
      <c r="G92" s="8" t="s">
        <v>319</v>
      </c>
      <c r="H92" s="8" t="s">
        <v>260</v>
      </c>
      <c r="I92" s="1" t="str">
        <f>IF([1]!SalesData[[#This Row],[Units Sold]]&lt;= 10,"Low Units",IF([1]!SalesData[[#This Row],[Units Sold]]&lt;= 15,"Average Units","High Units"))</f>
        <v>Low Units</v>
      </c>
      <c r="J92" s="18">
        <f>[1]!SalesData[[#This Row],[Units Sold]]*[1]!SalesData[[#This Row],[Unit Price]]</f>
        <v>595000</v>
      </c>
    </row>
    <row r="93" spans="1:10" x14ac:dyDescent="0.35">
      <c r="A93" s="7">
        <v>45707</v>
      </c>
      <c r="B93" s="1" t="s">
        <v>99</v>
      </c>
      <c r="C93" s="1" t="s">
        <v>119</v>
      </c>
      <c r="D93" s="1" t="s">
        <v>120</v>
      </c>
      <c r="E93" s="1">
        <v>5</v>
      </c>
      <c r="F93" s="1">
        <v>250000</v>
      </c>
      <c r="G93" s="8" t="s">
        <v>437</v>
      </c>
      <c r="H93" s="8" t="s">
        <v>492</v>
      </c>
      <c r="I93" s="1" t="str">
        <f>IF([1]!SalesData[[#This Row],[Units Sold]]&lt;= 10,"Low Units",IF([1]!SalesData[[#This Row],[Units Sold]]&lt;= 15,"Average Units","High Units"))</f>
        <v>Low Units</v>
      </c>
      <c r="J93" s="18">
        <f>[1]!SalesData[[#This Row],[Units Sold]]*[1]!SalesData[[#This Row],[Unit Price]]</f>
        <v>1250000</v>
      </c>
    </row>
    <row r="94" spans="1:10" x14ac:dyDescent="0.35">
      <c r="A94" s="7">
        <v>45757</v>
      </c>
      <c r="B94" s="1" t="s">
        <v>99</v>
      </c>
      <c r="C94" s="1" t="s">
        <v>476</v>
      </c>
      <c r="D94" s="1" t="s">
        <v>110</v>
      </c>
      <c r="E94" s="1">
        <v>19</v>
      </c>
      <c r="F94" s="1">
        <v>175000</v>
      </c>
      <c r="G94" s="8" t="s">
        <v>437</v>
      </c>
      <c r="H94" s="8" t="s">
        <v>488</v>
      </c>
      <c r="I94" s="1" t="str">
        <f>IF([1]!SalesData[[#This Row],[Units Sold]]&lt;= 10,"Low Units",IF([1]!SalesData[[#This Row],[Units Sold]]&lt;= 15,"Average Units","High Units"))</f>
        <v>High Units</v>
      </c>
      <c r="J94" s="18">
        <f>[1]!SalesData[[#This Row],[Units Sold]]*[1]!SalesData[[#This Row],[Unit Price]]</f>
        <v>3325000</v>
      </c>
    </row>
    <row r="95" spans="1:10" x14ac:dyDescent="0.35">
      <c r="A95" s="7">
        <v>45798</v>
      </c>
      <c r="B95" s="1" t="s">
        <v>99</v>
      </c>
      <c r="C95" s="1" t="s">
        <v>473</v>
      </c>
      <c r="D95" s="1" t="s">
        <v>165</v>
      </c>
      <c r="E95" s="1">
        <v>14</v>
      </c>
      <c r="F95" s="1">
        <v>350000</v>
      </c>
      <c r="G95" s="8" t="s">
        <v>495</v>
      </c>
      <c r="H95" s="8" t="s">
        <v>17</v>
      </c>
      <c r="I95" s="1" t="str">
        <f>IF([1]!SalesData[[#This Row],[Units Sold]]&lt;= 10,"Low Units",IF([1]!SalesData[[#This Row],[Units Sold]]&lt;= 15,"Average Units","High Units"))</f>
        <v>Average Units</v>
      </c>
      <c r="J95" s="18">
        <f>[1]!SalesData[[#This Row],[Units Sold]]*[1]!SalesData[[#This Row],[Unit Price]]</f>
        <v>4900000</v>
      </c>
    </row>
    <row r="96" spans="1:10" x14ac:dyDescent="0.35">
      <c r="A96" s="7">
        <v>45834</v>
      </c>
      <c r="B96" s="1" t="s">
        <v>99</v>
      </c>
      <c r="C96" s="1" t="s">
        <v>476</v>
      </c>
      <c r="D96" s="1" t="s">
        <v>110</v>
      </c>
      <c r="E96" s="1">
        <v>20</v>
      </c>
      <c r="F96" s="1">
        <v>175000</v>
      </c>
      <c r="G96" s="8" t="s">
        <v>437</v>
      </c>
      <c r="H96" s="14" t="s">
        <v>486</v>
      </c>
      <c r="I96" s="1" t="str">
        <f>IF([1]!SalesData[[#This Row],[Units Sold]]&lt;= 10,"Low Units",IF([1]!SalesData[[#This Row],[Units Sold]]&lt;= 15,"Average Units","High Units"))</f>
        <v>High Units</v>
      </c>
      <c r="J96" s="18">
        <f>[1]!SalesData[[#This Row],[Units Sold]]*[1]!SalesData[[#This Row],[Unit Price]]</f>
        <v>3500000</v>
      </c>
    </row>
    <row r="97" spans="1:10" x14ac:dyDescent="0.35">
      <c r="A97" s="7">
        <v>45708</v>
      </c>
      <c r="B97" s="1" t="s">
        <v>8</v>
      </c>
      <c r="C97" s="1" t="s">
        <v>477</v>
      </c>
      <c r="D97" s="1" t="s">
        <v>226</v>
      </c>
      <c r="E97" s="1">
        <v>18</v>
      </c>
      <c r="F97" s="1">
        <v>85000</v>
      </c>
      <c r="G97" s="8" t="s">
        <v>179</v>
      </c>
      <c r="H97" s="8" t="s">
        <v>490</v>
      </c>
      <c r="I97" s="1" t="str">
        <f>IF([1]!SalesData[[#This Row],[Units Sold]]&lt;= 10,"Low Units",IF([1]!SalesData[[#This Row],[Units Sold]]&lt;= 15,"Average Units","High Units"))</f>
        <v>High Units</v>
      </c>
      <c r="J97" s="18">
        <f>[1]!SalesData[[#This Row],[Units Sold]]*[1]!SalesData[[#This Row],[Unit Price]]</f>
        <v>1530000</v>
      </c>
    </row>
    <row r="98" spans="1:10" x14ac:dyDescent="0.35">
      <c r="A98" s="7">
        <v>45835</v>
      </c>
      <c r="B98" s="1" t="s">
        <v>18</v>
      </c>
      <c r="C98" s="1" t="s">
        <v>476</v>
      </c>
      <c r="D98" s="1" t="s">
        <v>110</v>
      </c>
      <c r="E98" s="1">
        <v>17</v>
      </c>
      <c r="F98" s="1">
        <v>175000</v>
      </c>
      <c r="G98" s="8" t="s">
        <v>494</v>
      </c>
      <c r="H98" s="8" t="s">
        <v>489</v>
      </c>
      <c r="I98" s="1" t="str">
        <f>IF([1]!SalesData[[#This Row],[Units Sold]]&lt;= 10,"Low Units",IF([1]!SalesData[[#This Row],[Units Sold]]&lt;= 15,"Average Units","High Units"))</f>
        <v>High Units</v>
      </c>
      <c r="J98" s="18">
        <f>[1]!SalesData[[#This Row],[Units Sold]]*[1]!SalesData[[#This Row],[Unit Price]]</f>
        <v>2975000</v>
      </c>
    </row>
    <row r="99" spans="1:10" x14ac:dyDescent="0.35">
      <c r="A99" s="7">
        <v>45693</v>
      </c>
      <c r="B99" s="1" t="s">
        <v>8</v>
      </c>
      <c r="C99" s="1" t="s">
        <v>119</v>
      </c>
      <c r="D99" s="1" t="s">
        <v>120</v>
      </c>
      <c r="E99" s="1">
        <v>20</v>
      </c>
      <c r="F99" s="1">
        <v>250000</v>
      </c>
      <c r="G99" s="8" t="s">
        <v>319</v>
      </c>
      <c r="H99" s="8" t="s">
        <v>17</v>
      </c>
      <c r="I99" s="1" t="str">
        <f>IF([1]!SalesData[[#This Row],[Units Sold]]&lt;= 10,"Low Units",IF([1]!SalesData[[#This Row],[Units Sold]]&lt;= 15,"Average Units","High Units"))</f>
        <v>High Units</v>
      </c>
      <c r="J99" s="18">
        <f>[1]!SalesData[[#This Row],[Units Sold]]*[1]!SalesData[[#This Row],[Unit Price]]</f>
        <v>5000000</v>
      </c>
    </row>
    <row r="100" spans="1:10" x14ac:dyDescent="0.35">
      <c r="A100" s="7">
        <v>45815</v>
      </c>
      <c r="B100" s="1" t="s">
        <v>8</v>
      </c>
      <c r="C100" s="1" t="s">
        <v>473</v>
      </c>
      <c r="D100" s="1" t="s">
        <v>165</v>
      </c>
      <c r="E100" s="1">
        <v>20</v>
      </c>
      <c r="F100" s="1">
        <v>350000</v>
      </c>
      <c r="G100" s="8" t="s">
        <v>179</v>
      </c>
      <c r="H100" s="8" t="s">
        <v>260</v>
      </c>
      <c r="I100" s="1" t="str">
        <f>IF([1]!SalesData[[#This Row],[Units Sold]]&lt;= 10,"Low Units",IF([1]!SalesData[[#This Row],[Units Sold]]&lt;= 15,"Average Units","High Units"))</f>
        <v>High Units</v>
      </c>
      <c r="J100" s="18">
        <f>[1]!SalesData[[#This Row],[Units Sold]]*[1]!SalesData[[#This Row],[Unit Price]]</f>
        <v>7000000</v>
      </c>
    </row>
    <row r="101" spans="1:10" x14ac:dyDescent="0.35">
      <c r="A101" s="15">
        <v>45790</v>
      </c>
      <c r="B101" s="1" t="s">
        <v>59</v>
      </c>
      <c r="C101" s="12" t="s">
        <v>105</v>
      </c>
      <c r="D101" s="12" t="s">
        <v>20</v>
      </c>
      <c r="E101" s="12">
        <v>18</v>
      </c>
      <c r="F101" s="12">
        <v>150000</v>
      </c>
      <c r="G101" s="13" t="s">
        <v>495</v>
      </c>
      <c r="H101" s="13" t="s">
        <v>63</v>
      </c>
      <c r="I101" s="1" t="str">
        <f>IF([1]!SalesData[[#This Row],[Units Sold]]&lt;= 10,"Low Units",IF([1]!SalesData[[#This Row],[Units Sold]]&lt;= 15,"Average Units","High Units"))</f>
        <v>High Units</v>
      </c>
      <c r="J101" s="18">
        <f>[1]!SalesData[[#This Row],[Units Sold]]*[1]!SalesData[[#This Row],[Unit Price]]</f>
        <v>2700000</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9D55-2E0F-4876-AE06-EBD1B6015E4A}">
  <dimension ref="A2:B63"/>
  <sheetViews>
    <sheetView workbookViewId="0">
      <selection activeCell="A56" sqref="A56"/>
    </sheetView>
  </sheetViews>
  <sheetFormatPr defaultRowHeight="14.5" x14ac:dyDescent="0.35"/>
  <cols>
    <col min="1" max="1" width="11.81640625" bestFit="1" customWidth="1"/>
    <col min="2" max="2" width="14.81640625" bestFit="1" customWidth="1"/>
  </cols>
  <sheetData>
    <row r="2" spans="1:2" x14ac:dyDescent="0.35">
      <c r="A2" t="s">
        <v>499</v>
      </c>
    </row>
    <row r="3" spans="1:2" x14ac:dyDescent="0.35">
      <c r="A3" s="16" t="s">
        <v>500</v>
      </c>
      <c r="B3" t="s">
        <v>498</v>
      </c>
    </row>
    <row r="4" spans="1:2" x14ac:dyDescent="0.35">
      <c r="A4" s="17" t="s">
        <v>478</v>
      </c>
      <c r="B4" s="19">
        <v>57295000</v>
      </c>
    </row>
    <row r="5" spans="1:2" x14ac:dyDescent="0.35">
      <c r="A5" s="17" t="s">
        <v>479</v>
      </c>
      <c r="B5" s="19">
        <v>50735000</v>
      </c>
    </row>
    <row r="6" spans="1:2" x14ac:dyDescent="0.35">
      <c r="A6" s="17" t="s">
        <v>480</v>
      </c>
      <c r="B6" s="19">
        <v>13545000</v>
      </c>
    </row>
    <row r="7" spans="1:2" x14ac:dyDescent="0.35">
      <c r="A7" s="17" t="s">
        <v>481</v>
      </c>
      <c r="B7" s="19">
        <v>29620000</v>
      </c>
    </row>
    <row r="8" spans="1:2" x14ac:dyDescent="0.35">
      <c r="A8" s="17" t="s">
        <v>482</v>
      </c>
      <c r="B8" s="19">
        <v>32285000</v>
      </c>
    </row>
    <row r="9" spans="1:2" x14ac:dyDescent="0.35">
      <c r="A9" s="17" t="s">
        <v>483</v>
      </c>
      <c r="B9" s="19">
        <v>34095000</v>
      </c>
    </row>
    <row r="10" spans="1:2" x14ac:dyDescent="0.35">
      <c r="A10" s="17" t="s">
        <v>472</v>
      </c>
      <c r="B10" s="19">
        <v>217575000</v>
      </c>
    </row>
    <row r="12" spans="1:2" x14ac:dyDescent="0.35">
      <c r="A12" t="s">
        <v>501</v>
      </c>
    </row>
    <row r="13" spans="1:2" x14ac:dyDescent="0.35">
      <c r="A13" s="16" t="s">
        <v>6</v>
      </c>
      <c r="B13" t="s">
        <v>498</v>
      </c>
    </row>
    <row r="14" spans="1:2" x14ac:dyDescent="0.35">
      <c r="A14" s="17" t="s">
        <v>116</v>
      </c>
      <c r="B14" s="19">
        <v>47820000</v>
      </c>
    </row>
    <row r="15" spans="1:2" x14ac:dyDescent="0.35">
      <c r="A15" s="17" t="s">
        <v>319</v>
      </c>
      <c r="B15" s="19">
        <v>34020000</v>
      </c>
    </row>
    <row r="16" spans="1:2" x14ac:dyDescent="0.35">
      <c r="A16" s="17" t="s">
        <v>495</v>
      </c>
      <c r="B16" s="19">
        <v>32080000</v>
      </c>
    </row>
    <row r="17" spans="1:2" x14ac:dyDescent="0.35">
      <c r="A17" s="17" t="s">
        <v>494</v>
      </c>
      <c r="B17" s="19">
        <v>29415000</v>
      </c>
    </row>
    <row r="18" spans="1:2" x14ac:dyDescent="0.35">
      <c r="A18" s="17" t="s">
        <v>179</v>
      </c>
      <c r="B18" s="19">
        <v>24790000</v>
      </c>
    </row>
    <row r="19" spans="1:2" x14ac:dyDescent="0.35">
      <c r="A19" s="17" t="s">
        <v>472</v>
      </c>
      <c r="B19" s="19">
        <v>168125000</v>
      </c>
    </row>
    <row r="22" spans="1:2" x14ac:dyDescent="0.35">
      <c r="A22" t="s">
        <v>502</v>
      </c>
    </row>
    <row r="24" spans="1:2" x14ac:dyDescent="0.35">
      <c r="A24" s="16" t="s">
        <v>1</v>
      </c>
      <c r="B24" t="s">
        <v>498</v>
      </c>
    </row>
    <row r="25" spans="1:2" x14ac:dyDescent="0.35">
      <c r="A25" s="17" t="s">
        <v>99</v>
      </c>
      <c r="B25" s="19">
        <v>75120000</v>
      </c>
    </row>
    <row r="26" spans="1:2" x14ac:dyDescent="0.35">
      <c r="A26" s="17" t="s">
        <v>18</v>
      </c>
      <c r="B26" s="19">
        <v>39490000</v>
      </c>
    </row>
    <row r="27" spans="1:2" x14ac:dyDescent="0.35">
      <c r="A27" s="17" t="s">
        <v>8</v>
      </c>
      <c r="B27" s="19">
        <v>57110000</v>
      </c>
    </row>
    <row r="28" spans="1:2" x14ac:dyDescent="0.35">
      <c r="A28" s="17" t="s">
        <v>59</v>
      </c>
      <c r="B28" s="19">
        <v>45855000</v>
      </c>
    </row>
    <row r="29" spans="1:2" x14ac:dyDescent="0.35">
      <c r="A29" s="17" t="s">
        <v>472</v>
      </c>
      <c r="B29" s="19">
        <v>217575000</v>
      </c>
    </row>
    <row r="32" spans="1:2" x14ac:dyDescent="0.35">
      <c r="A32" s="17" t="s">
        <v>503</v>
      </c>
    </row>
    <row r="34" spans="1:2" x14ac:dyDescent="0.35">
      <c r="A34" s="16" t="s">
        <v>496</v>
      </c>
      <c r="B34" t="s">
        <v>507</v>
      </c>
    </row>
    <row r="35" spans="1:2" x14ac:dyDescent="0.35">
      <c r="A35" s="17" t="s">
        <v>504</v>
      </c>
      <c r="B35">
        <v>293</v>
      </c>
    </row>
    <row r="36" spans="1:2" x14ac:dyDescent="0.35">
      <c r="A36" s="17" t="s">
        <v>505</v>
      </c>
      <c r="B36">
        <v>595</v>
      </c>
    </row>
    <row r="37" spans="1:2" x14ac:dyDescent="0.35">
      <c r="A37" s="17" t="s">
        <v>506</v>
      </c>
      <c r="B37">
        <v>253</v>
      </c>
    </row>
    <row r="38" spans="1:2" x14ac:dyDescent="0.35">
      <c r="A38" s="17" t="s">
        <v>472</v>
      </c>
      <c r="B38">
        <v>1141</v>
      </c>
    </row>
    <row r="41" spans="1:2" x14ac:dyDescent="0.35">
      <c r="A41" s="17" t="s">
        <v>508</v>
      </c>
    </row>
    <row r="43" spans="1:2" x14ac:dyDescent="0.35">
      <c r="A43" s="16" t="s">
        <v>2</v>
      </c>
      <c r="B43" t="s">
        <v>485</v>
      </c>
    </row>
    <row r="44" spans="1:2" x14ac:dyDescent="0.35">
      <c r="A44" s="17" t="s">
        <v>476</v>
      </c>
      <c r="B44">
        <v>2275000</v>
      </c>
    </row>
    <row r="45" spans="1:2" x14ac:dyDescent="0.35">
      <c r="A45" s="17" t="s">
        <v>119</v>
      </c>
      <c r="B45">
        <v>3500000</v>
      </c>
    </row>
    <row r="46" spans="1:2" x14ac:dyDescent="0.35">
      <c r="A46" s="17" t="s">
        <v>475</v>
      </c>
      <c r="B46">
        <v>910000</v>
      </c>
    </row>
    <row r="47" spans="1:2" x14ac:dyDescent="0.35">
      <c r="A47" s="17" t="s">
        <v>474</v>
      </c>
      <c r="B47">
        <v>1440000</v>
      </c>
    </row>
    <row r="48" spans="1:2" x14ac:dyDescent="0.35">
      <c r="A48" s="17" t="s">
        <v>477</v>
      </c>
      <c r="B48">
        <v>1020000</v>
      </c>
    </row>
    <row r="49" spans="1:2" x14ac:dyDescent="0.35">
      <c r="A49" s="17" t="s">
        <v>105</v>
      </c>
      <c r="B49">
        <v>3300000</v>
      </c>
    </row>
    <row r="50" spans="1:2" x14ac:dyDescent="0.35">
      <c r="A50" s="17" t="s">
        <v>473</v>
      </c>
      <c r="B50">
        <v>5950000</v>
      </c>
    </row>
    <row r="51" spans="1:2" x14ac:dyDescent="0.35">
      <c r="A51" s="17" t="s">
        <v>472</v>
      </c>
      <c r="B51">
        <v>18395000</v>
      </c>
    </row>
    <row r="53" spans="1:2" x14ac:dyDescent="0.35">
      <c r="A53" s="17" t="s">
        <v>509</v>
      </c>
    </row>
    <row r="55" spans="1:2" x14ac:dyDescent="0.35">
      <c r="A55" s="16" t="s">
        <v>2</v>
      </c>
      <c r="B55" t="s">
        <v>498</v>
      </c>
    </row>
    <row r="56" spans="1:2" x14ac:dyDescent="0.35">
      <c r="A56" s="17" t="s">
        <v>473</v>
      </c>
      <c r="B56" s="19">
        <v>75250000</v>
      </c>
    </row>
    <row r="57" spans="1:2" x14ac:dyDescent="0.35">
      <c r="A57" s="17" t="s">
        <v>119</v>
      </c>
      <c r="B57" s="19">
        <v>47750000</v>
      </c>
    </row>
    <row r="58" spans="1:2" x14ac:dyDescent="0.35">
      <c r="A58" s="17" t="s">
        <v>105</v>
      </c>
      <c r="B58" s="19">
        <v>33900000</v>
      </c>
    </row>
    <row r="59" spans="1:2" x14ac:dyDescent="0.35">
      <c r="A59" s="17" t="s">
        <v>476</v>
      </c>
      <c r="B59" s="19">
        <v>25550000</v>
      </c>
    </row>
    <row r="60" spans="1:2" x14ac:dyDescent="0.35">
      <c r="A60" s="17" t="s">
        <v>474</v>
      </c>
      <c r="B60" s="19">
        <v>14760000</v>
      </c>
    </row>
    <row r="61" spans="1:2" x14ac:dyDescent="0.35">
      <c r="A61" s="17" t="s">
        <v>475</v>
      </c>
      <c r="B61" s="19">
        <v>11440000</v>
      </c>
    </row>
    <row r="62" spans="1:2" x14ac:dyDescent="0.35">
      <c r="A62" s="17" t="s">
        <v>477</v>
      </c>
      <c r="B62" s="19">
        <v>8925000</v>
      </c>
    </row>
    <row r="63" spans="1:2" x14ac:dyDescent="0.35">
      <c r="A63" s="17" t="s">
        <v>472</v>
      </c>
      <c r="B63" s="19">
        <v>217575000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7766-2413-44D5-9A80-06AD37310C62}">
  <sheetPr>
    <pageSetUpPr fitToPage="1"/>
  </sheetPr>
  <dimension ref="A1"/>
  <sheetViews>
    <sheetView showGridLines="0" tabSelected="1" zoomScale="50" zoomScaleNormal="50" workbookViewId="0">
      <selection activeCell="O10" sqref="O10"/>
    </sheetView>
  </sheetViews>
  <sheetFormatPr defaultRowHeight="14.5" x14ac:dyDescent="0.35"/>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Raw Data (2)</vt:lpstr>
      <vt:lpstr>SalesData</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Esther Ayodele</cp:lastModifiedBy>
  <cp:lastPrinted>2026-01-16T03:42:32Z</cp:lastPrinted>
  <dcterms:created xsi:type="dcterms:W3CDTF">2025-10-20T20:05:08Z</dcterms:created>
  <dcterms:modified xsi:type="dcterms:W3CDTF">2026-01-16T03:43:35Z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